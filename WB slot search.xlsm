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54b6ca0f42660f79/Work/New Projects/Marketplaces Financials/Files/WB slot search/Versions/Published/"/>
    </mc:Choice>
  </mc:AlternateContent>
  <xr:revisionPtr revIDLastSave="28" documentId="8_{338BDE31-B875-4AF1-A889-AC42DB090145}" xr6:coauthVersionLast="47" xr6:coauthVersionMax="47" xr10:uidLastSave="{3823141C-22E7-43AD-B18A-929EB6B2659C}"/>
  <bookViews>
    <workbookView xWindow="0" yWindow="368" windowWidth="21600" windowHeight="12217" activeTab="1" xr2:uid="{C8B916DD-2269-4E36-BAEB-E1122D6CBFBB}"/>
  </bookViews>
  <sheets>
    <sheet name="Help" sheetId="7" r:id="rId1"/>
    <sheet name="WB coefficients" sheetId="4" r:id="rId2"/>
    <sheet name="Where to look" sheetId="2" r:id="rId3"/>
    <sheet name="API" sheetId="5" r:id="rId4"/>
    <sheet name="SendTGbot" sheetId="8" state="hidden" r:id="rId5"/>
    <sheet name="Params" sheetId="1" state="hidden" r:id="rId6"/>
  </sheets>
  <functionGroups builtInGroupCount="19"/>
  <definedNames>
    <definedName name="AutoSearchSlots" localSheetId="0">#REF!</definedName>
    <definedName name="AutoSearchSlots">'WB coefficients'!$W$2</definedName>
    <definedName name="ExternalData_1" localSheetId="4" hidden="1">SendTGbot!$A$1:$B$2</definedName>
    <definedName name="ExternalData_2" localSheetId="5" hidden="1">Params!$I$3:$J$423</definedName>
    <definedName name="FindMessage" localSheetId="0">#REF!</definedName>
    <definedName name="FindMessage">'WB coefficients'!$V$1</definedName>
    <definedName name="help_conf_wb">Help!$B$49</definedName>
    <definedName name="help_xml">Help!#REF!</definedName>
    <definedName name="Notify" localSheetId="0">#REF!</definedName>
    <definedName name="Notify">Params!$C$2</definedName>
    <definedName name="SearchDay" localSheetId="0">#REF!</definedName>
    <definedName name="SearchDay">Params!$F$2</definedName>
    <definedName name="SearchInt" localSheetId="0">#REF!</definedName>
    <definedName name="SearchInt">'WB coefficients'!$C$3</definedName>
    <definedName name="Slicer_Доступность">#N/A</definedName>
    <definedName name="Slicer_Задача">#N/A</definedName>
    <definedName name="SlotsCheck">'WB coefficients'!$W$1</definedName>
    <definedName name="Test" localSheetId="0">#REF!</definedName>
    <definedName name="Test">'WB coefficients'!#REF!</definedName>
    <definedName name="TgChatId" localSheetId="0">#REF!</definedName>
    <definedName name="TgChatId">API!$C$4</definedName>
    <definedName name="ValidC" localSheetId="0">#REF!</definedName>
    <definedName name="ValidC">'WB coefficients'!$F$5</definedName>
    <definedName name="WarehousesTypes">Warehouses[boxTypeName]</definedName>
    <definedName name="WarhousesNames">Warehouses[warehouseName]</definedName>
    <definedName name="WBNewApi" localSheetId="0">#REF!</definedName>
    <definedName name="WBNewApi">API!$C$3</definedName>
  </definedNames>
  <calcPr calcId="191029"/>
  <pivotCaches>
    <pivotCache cacheId="33" r:id="rId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 l="1" a="1"/>
  <c r="K1" i="5" s="1"/>
  <c r="K1" i="2" a="1"/>
  <c r="K1" i="2" s="1"/>
  <c r="Q1" i="4" a="1"/>
  <c r="Q1" i="4" s="1"/>
  <c r="T425" i="4" l="1"/>
  <c r="T426" i="4"/>
  <c r="T427" i="4"/>
  <c r="T428" i="4"/>
  <c r="W425" i="4"/>
  <c r="W426" i="4"/>
  <c r="W427" i="4"/>
  <c r="W428" i="4"/>
  <c r="D5" i="2" l="1"/>
  <c r="W424" i="4" l="1"/>
  <c r="T424" i="4"/>
  <c r="T418" i="4"/>
  <c r="W418" i="4"/>
  <c r="W1" i="5"/>
  <c r="T423" i="4" l="1"/>
  <c r="T422" i="4"/>
  <c r="T421" i="4"/>
  <c r="T420" i="4"/>
  <c r="T419" i="4"/>
  <c r="T417" i="4"/>
  <c r="T416" i="4"/>
  <c r="T415" i="4"/>
  <c r="T414" i="4"/>
  <c r="T413" i="4"/>
  <c r="T412" i="4"/>
  <c r="T411" i="4"/>
  <c r="T410" i="4"/>
  <c r="T409" i="4"/>
  <c r="T408" i="4"/>
  <c r="T407" i="4"/>
  <c r="T406" i="4"/>
  <c r="T405" i="4"/>
  <c r="T404" i="4"/>
  <c r="T403" i="4"/>
  <c r="T402" i="4"/>
  <c r="T401" i="4"/>
  <c r="T400" i="4"/>
  <c r="T399" i="4"/>
  <c r="T398" i="4"/>
  <c r="T397" i="4"/>
  <c r="T396" i="4"/>
  <c r="T395" i="4"/>
  <c r="T394" i="4"/>
  <c r="T393" i="4"/>
  <c r="T392" i="4"/>
  <c r="T391" i="4"/>
  <c r="T390" i="4"/>
  <c r="T389" i="4"/>
  <c r="T388" i="4"/>
  <c r="T387" i="4"/>
  <c r="T386" i="4"/>
  <c r="T385" i="4"/>
  <c r="T384" i="4"/>
  <c r="T383" i="4"/>
  <c r="T382" i="4"/>
  <c r="T381" i="4"/>
  <c r="T380" i="4"/>
  <c r="T379" i="4"/>
  <c r="T378" i="4"/>
  <c r="T377" i="4"/>
  <c r="T376" i="4"/>
  <c r="T375" i="4"/>
  <c r="T374" i="4"/>
  <c r="T373" i="4"/>
  <c r="T372" i="4"/>
  <c r="T371" i="4"/>
  <c r="T370" i="4"/>
  <c r="T369" i="4"/>
  <c r="T368" i="4"/>
  <c r="T367" i="4"/>
  <c r="T366" i="4"/>
  <c r="T365" i="4"/>
  <c r="T364" i="4"/>
  <c r="T363" i="4"/>
  <c r="T362" i="4"/>
  <c r="T361" i="4"/>
  <c r="T360" i="4"/>
  <c r="T359" i="4"/>
  <c r="T358" i="4"/>
  <c r="T357" i="4"/>
  <c r="T356" i="4"/>
  <c r="T355" i="4"/>
  <c r="T354" i="4"/>
  <c r="T353" i="4"/>
  <c r="T352" i="4"/>
  <c r="T351" i="4"/>
  <c r="T350" i="4"/>
  <c r="T349" i="4"/>
  <c r="T348" i="4"/>
  <c r="T347" i="4"/>
  <c r="T346" i="4"/>
  <c r="T345" i="4"/>
  <c r="T344" i="4"/>
  <c r="T343" i="4"/>
  <c r="T342" i="4"/>
  <c r="T341" i="4"/>
  <c r="T340" i="4"/>
  <c r="T339" i="4"/>
  <c r="T338" i="4"/>
  <c r="T337" i="4"/>
  <c r="T336" i="4"/>
  <c r="T335" i="4"/>
  <c r="T334" i="4"/>
  <c r="T333" i="4"/>
  <c r="T332" i="4"/>
  <c r="T331" i="4"/>
  <c r="T330" i="4"/>
  <c r="T329" i="4"/>
  <c r="T328" i="4"/>
  <c r="T327" i="4"/>
  <c r="T326" i="4"/>
  <c r="T325" i="4"/>
  <c r="T324" i="4"/>
  <c r="T323" i="4"/>
  <c r="T322" i="4"/>
  <c r="T321" i="4"/>
  <c r="T320" i="4"/>
  <c r="T319" i="4"/>
  <c r="T318" i="4"/>
  <c r="T317" i="4"/>
  <c r="T316" i="4"/>
  <c r="T315" i="4"/>
  <c r="T314" i="4"/>
  <c r="T313" i="4"/>
  <c r="T312" i="4"/>
  <c r="T311" i="4"/>
  <c r="T310" i="4"/>
  <c r="T309" i="4"/>
  <c r="T308" i="4"/>
  <c r="T307" i="4"/>
  <c r="T306" i="4"/>
  <c r="T305" i="4"/>
  <c r="T304" i="4"/>
  <c r="T303" i="4"/>
  <c r="T302" i="4"/>
  <c r="T301" i="4"/>
  <c r="T300" i="4"/>
  <c r="T299" i="4"/>
  <c r="T298" i="4"/>
  <c r="T297" i="4"/>
  <c r="T296" i="4"/>
  <c r="T295" i="4"/>
  <c r="T294" i="4"/>
  <c r="T293" i="4"/>
  <c r="T292" i="4"/>
  <c r="T291" i="4"/>
  <c r="T290" i="4"/>
  <c r="T289" i="4"/>
  <c r="T288" i="4"/>
  <c r="T287" i="4"/>
  <c r="T286" i="4"/>
  <c r="T285" i="4"/>
  <c r="T284" i="4"/>
  <c r="T283" i="4"/>
  <c r="T282" i="4"/>
  <c r="T281" i="4"/>
  <c r="T280" i="4"/>
  <c r="T279" i="4"/>
  <c r="T278" i="4"/>
  <c r="T277" i="4"/>
  <c r="T276" i="4"/>
  <c r="T275" i="4"/>
  <c r="T274" i="4"/>
  <c r="T273" i="4"/>
  <c r="T272" i="4"/>
  <c r="T271" i="4"/>
  <c r="T270" i="4"/>
  <c r="T269" i="4"/>
  <c r="T268" i="4"/>
  <c r="T267" i="4"/>
  <c r="T266" i="4"/>
  <c r="T265" i="4"/>
  <c r="T264" i="4"/>
  <c r="T263" i="4"/>
  <c r="T262" i="4"/>
  <c r="T261" i="4"/>
  <c r="T260" i="4"/>
  <c r="T259" i="4"/>
  <c r="T258" i="4"/>
  <c r="T257" i="4"/>
  <c r="T256" i="4"/>
  <c r="T255" i="4"/>
  <c r="T254"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2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18" i="4"/>
  <c r="T117"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T11" i="4"/>
  <c r="T10" i="4"/>
  <c r="T9" i="4"/>
  <c r="D6" i="2"/>
  <c r="D4" i="2"/>
  <c r="W9" i="4" l="1"/>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9" i="4"/>
  <c r="W420" i="4"/>
  <c r="W421" i="4"/>
  <c r="W422" i="4"/>
  <c r="W423" i="4"/>
  <c r="W1" i="4"/>
  <c r="D3" i="4" a="1"/>
  <c r="D3" i="4" s="1"/>
  <c r="F2" i="4"/>
  <c r="S425" i="4" l="1"/>
  <c r="U425" i="4" s="1"/>
  <c r="V425" i="4" s="1" a="1"/>
  <c r="V425" i="4" s="1"/>
  <c r="S428" i="4"/>
  <c r="U428" i="4" s="1"/>
  <c r="V428" i="4" s="1" a="1"/>
  <c r="V428" i="4" s="1"/>
  <c r="S427" i="4"/>
  <c r="U427" i="4" s="1"/>
  <c r="V427" i="4" s="1" a="1"/>
  <c r="V427" i="4" s="1"/>
  <c r="S426" i="4"/>
  <c r="U426" i="4" s="1"/>
  <c r="V426" i="4" s="1" a="1"/>
  <c r="V426" i="4" s="1"/>
  <c r="E5" i="2"/>
  <c r="F5" i="2" s="1"/>
  <c r="S424" i="4"/>
  <c r="U424" i="4" s="1"/>
  <c r="V424" i="4" s="1" a="1"/>
  <c r="V424" i="4" s="1"/>
  <c r="S418" i="4"/>
  <c r="U418" i="4" s="1"/>
  <c r="V418" i="4" s="1" a="1"/>
  <c r="V418" i="4" s="1"/>
  <c r="E4" i="2"/>
  <c r="F4" i="2" s="1"/>
  <c r="E6" i="2"/>
  <c r="F6" i="2" s="1"/>
  <c r="S352" i="4"/>
  <c r="S86" i="4"/>
  <c r="S416" i="4"/>
  <c r="S408" i="4"/>
  <c r="S400" i="4"/>
  <c r="S392" i="4"/>
  <c r="S384" i="4"/>
  <c r="S376" i="4"/>
  <c r="S368" i="4"/>
  <c r="S360" i="4"/>
  <c r="S336" i="4"/>
  <c r="S328" i="4"/>
  <c r="S320" i="4"/>
  <c r="S312" i="4"/>
  <c r="S304" i="4"/>
  <c r="S296" i="4"/>
  <c r="S288" i="4"/>
  <c r="S280" i="4"/>
  <c r="S272" i="4"/>
  <c r="S264" i="4"/>
  <c r="S256" i="4"/>
  <c r="S248" i="4"/>
  <c r="S240" i="4"/>
  <c r="S232" i="4"/>
  <c r="S224" i="4"/>
  <c r="S216" i="4"/>
  <c r="S208" i="4"/>
  <c r="S200" i="4"/>
  <c r="S192" i="4"/>
  <c r="S184" i="4"/>
  <c r="S176" i="4"/>
  <c r="S168" i="4"/>
  <c r="S160" i="4"/>
  <c r="S152" i="4"/>
  <c r="S144" i="4"/>
  <c r="S136" i="4"/>
  <c r="S128" i="4"/>
  <c r="S120" i="4"/>
  <c r="S112" i="4"/>
  <c r="S104" i="4"/>
  <c r="S96" i="4"/>
  <c r="S88" i="4"/>
  <c r="S80" i="4"/>
  <c r="S72" i="4"/>
  <c r="S64" i="4"/>
  <c r="S56" i="4"/>
  <c r="S48" i="4"/>
  <c r="S40" i="4"/>
  <c r="S32" i="4"/>
  <c r="S24" i="4"/>
  <c r="S344" i="4"/>
  <c r="S16" i="4"/>
  <c r="S423" i="4"/>
  <c r="S391" i="4"/>
  <c r="S343" i="4"/>
  <c r="S327" i="4"/>
  <c r="S279" i="4"/>
  <c r="S239" i="4"/>
  <c r="S207" i="4"/>
  <c r="S191" i="4"/>
  <c r="S23" i="4"/>
  <c r="S417" i="4"/>
  <c r="S409" i="4"/>
  <c r="S401" i="4"/>
  <c r="S393" i="4"/>
  <c r="S385" i="4"/>
  <c r="S377" i="4"/>
  <c r="S369" i="4"/>
  <c r="S361" i="4"/>
  <c r="S353" i="4"/>
  <c r="S345" i="4"/>
  <c r="S337" i="4"/>
  <c r="S329" i="4"/>
  <c r="S321" i="4"/>
  <c r="S313" i="4"/>
  <c r="S305" i="4"/>
  <c r="S297" i="4"/>
  <c r="S289" i="4"/>
  <c r="S281" i="4"/>
  <c r="S273" i="4"/>
  <c r="S265" i="4"/>
  <c r="S257" i="4"/>
  <c r="S249" i="4"/>
  <c r="S241" i="4"/>
  <c r="S233" i="4"/>
  <c r="S225" i="4"/>
  <c r="S217" i="4"/>
  <c r="S209" i="4"/>
  <c r="S201" i="4"/>
  <c r="S193" i="4"/>
  <c r="S185" i="4"/>
  <c r="S177" i="4"/>
  <c r="S169" i="4"/>
  <c r="S161" i="4"/>
  <c r="S153" i="4"/>
  <c r="S145" i="4"/>
  <c r="S137" i="4"/>
  <c r="S129" i="4"/>
  <c r="S121" i="4"/>
  <c r="S113" i="4"/>
  <c r="S105" i="4"/>
  <c r="S97" i="4"/>
  <c r="S89" i="4"/>
  <c r="S81" i="4"/>
  <c r="S73" i="4"/>
  <c r="S65" i="4"/>
  <c r="S57" i="4"/>
  <c r="S49" i="4"/>
  <c r="S41" i="4"/>
  <c r="S33" i="4"/>
  <c r="S25" i="4"/>
  <c r="S17" i="4"/>
  <c r="S9" i="4"/>
  <c r="S407" i="4"/>
  <c r="S367" i="4"/>
  <c r="S319" i="4"/>
  <c r="S263" i="4"/>
  <c r="S231" i="4"/>
  <c r="S199" i="4"/>
  <c r="S175" i="4"/>
  <c r="S167" i="4"/>
  <c r="S159" i="4"/>
  <c r="S151" i="4"/>
  <c r="S143" i="4"/>
  <c r="S135" i="4"/>
  <c r="S127" i="4"/>
  <c r="S119" i="4"/>
  <c r="S111" i="4"/>
  <c r="S103" i="4"/>
  <c r="S95" i="4"/>
  <c r="S87" i="4"/>
  <c r="S71" i="4"/>
  <c r="S63" i="4"/>
  <c r="S47" i="4"/>
  <c r="S15" i="4"/>
  <c r="S422" i="4"/>
  <c r="S414" i="4"/>
  <c r="S406" i="4"/>
  <c r="S398" i="4"/>
  <c r="S390" i="4"/>
  <c r="S382" i="4"/>
  <c r="S374" i="4"/>
  <c r="S366" i="4"/>
  <c r="S358" i="4"/>
  <c r="S350" i="4"/>
  <c r="S342" i="4"/>
  <c r="S334" i="4"/>
  <c r="S326" i="4"/>
  <c r="S318" i="4"/>
  <c r="S310" i="4"/>
  <c r="S302" i="4"/>
  <c r="S294" i="4"/>
  <c r="S286" i="4"/>
  <c r="S278" i="4"/>
  <c r="S270" i="4"/>
  <c r="S262" i="4"/>
  <c r="S254" i="4"/>
  <c r="S246" i="4"/>
  <c r="S238" i="4"/>
  <c r="S230" i="4"/>
  <c r="S222" i="4"/>
  <c r="S214" i="4"/>
  <c r="S206" i="4"/>
  <c r="S198" i="4"/>
  <c r="S190" i="4"/>
  <c r="S182" i="4"/>
  <c r="S174" i="4"/>
  <c r="S166" i="4"/>
  <c r="S158" i="4"/>
  <c r="S150" i="4"/>
  <c r="S142" i="4"/>
  <c r="S134" i="4"/>
  <c r="S126" i="4"/>
  <c r="S118" i="4"/>
  <c r="S110" i="4"/>
  <c r="S102" i="4"/>
  <c r="S94" i="4"/>
  <c r="S78" i="4"/>
  <c r="S70" i="4"/>
  <c r="S62" i="4"/>
  <c r="S54" i="4"/>
  <c r="S46" i="4"/>
  <c r="S38" i="4"/>
  <c r="S30" i="4"/>
  <c r="S22" i="4"/>
  <c r="S14" i="4"/>
  <c r="S79" i="4"/>
  <c r="S421" i="4"/>
  <c r="S413" i="4"/>
  <c r="S405" i="4"/>
  <c r="S397" i="4"/>
  <c r="S389" i="4"/>
  <c r="S381" i="4"/>
  <c r="S373" i="4"/>
  <c r="S365" i="4"/>
  <c r="S357" i="4"/>
  <c r="S349" i="4"/>
  <c r="S341" i="4"/>
  <c r="S333" i="4"/>
  <c r="S325" i="4"/>
  <c r="S317" i="4"/>
  <c r="S309" i="4"/>
  <c r="S301" i="4"/>
  <c r="S293" i="4"/>
  <c r="S285" i="4"/>
  <c r="S277" i="4"/>
  <c r="S269" i="4"/>
  <c r="S261" i="4"/>
  <c r="S253" i="4"/>
  <c r="S245" i="4"/>
  <c r="S237" i="4"/>
  <c r="S229" i="4"/>
  <c r="S221" i="4"/>
  <c r="S213" i="4"/>
  <c r="S205" i="4"/>
  <c r="S197" i="4"/>
  <c r="S189" i="4"/>
  <c r="S181" i="4"/>
  <c r="S173" i="4"/>
  <c r="S165" i="4"/>
  <c r="S157" i="4"/>
  <c r="S149" i="4"/>
  <c r="S141" i="4"/>
  <c r="S133" i="4"/>
  <c r="S125" i="4"/>
  <c r="S117" i="4"/>
  <c r="S109" i="4"/>
  <c r="S101" i="4"/>
  <c r="S93" i="4"/>
  <c r="S85" i="4"/>
  <c r="S77" i="4"/>
  <c r="S69" i="4"/>
  <c r="S61" i="4"/>
  <c r="S53" i="4"/>
  <c r="S45" i="4"/>
  <c r="S37" i="4"/>
  <c r="S29" i="4"/>
  <c r="S21" i="4"/>
  <c r="S13" i="4"/>
  <c r="S415" i="4"/>
  <c r="S375" i="4"/>
  <c r="S335" i="4"/>
  <c r="S295" i="4"/>
  <c r="S255" i="4"/>
  <c r="S55" i="4"/>
  <c r="S420" i="4"/>
  <c r="S412" i="4"/>
  <c r="S404" i="4"/>
  <c r="S396" i="4"/>
  <c r="S388" i="4"/>
  <c r="S380" i="4"/>
  <c r="S372" i="4"/>
  <c r="S364" i="4"/>
  <c r="S356" i="4"/>
  <c r="S348" i="4"/>
  <c r="S340" i="4"/>
  <c r="S332" i="4"/>
  <c r="S324" i="4"/>
  <c r="S316" i="4"/>
  <c r="S308" i="4"/>
  <c r="S300" i="4"/>
  <c r="S292" i="4"/>
  <c r="S284" i="4"/>
  <c r="S276" i="4"/>
  <c r="S268" i="4"/>
  <c r="S260" i="4"/>
  <c r="S252" i="4"/>
  <c r="S244" i="4"/>
  <c r="S236" i="4"/>
  <c r="S228" i="4"/>
  <c r="S220" i="4"/>
  <c r="S212" i="4"/>
  <c r="S204" i="4"/>
  <c r="S196" i="4"/>
  <c r="S188" i="4"/>
  <c r="S180" i="4"/>
  <c r="S172" i="4"/>
  <c r="S164" i="4"/>
  <c r="S156" i="4"/>
  <c r="S148" i="4"/>
  <c r="S140" i="4"/>
  <c r="S132" i="4"/>
  <c r="S124" i="4"/>
  <c r="S116" i="4"/>
  <c r="S108" i="4"/>
  <c r="S100" i="4"/>
  <c r="S92" i="4"/>
  <c r="S84" i="4"/>
  <c r="S76" i="4"/>
  <c r="S68" i="4"/>
  <c r="S60" i="4"/>
  <c r="S52" i="4"/>
  <c r="S44" i="4"/>
  <c r="S36" i="4"/>
  <c r="S28" i="4"/>
  <c r="S20" i="4"/>
  <c r="S12" i="4"/>
  <c r="S383" i="4"/>
  <c r="S351" i="4"/>
  <c r="S303" i="4"/>
  <c r="S287" i="4"/>
  <c r="S247" i="4"/>
  <c r="S215" i="4"/>
  <c r="S183" i="4"/>
  <c r="S31" i="4"/>
  <c r="S419" i="4"/>
  <c r="S411" i="4"/>
  <c r="S403" i="4"/>
  <c r="S395" i="4"/>
  <c r="S387" i="4"/>
  <c r="S379" i="4"/>
  <c r="S371" i="4"/>
  <c r="S363" i="4"/>
  <c r="S355" i="4"/>
  <c r="S347" i="4"/>
  <c r="S339" i="4"/>
  <c r="S331" i="4"/>
  <c r="S323" i="4"/>
  <c r="S315" i="4"/>
  <c r="S307" i="4"/>
  <c r="S299" i="4"/>
  <c r="S291" i="4"/>
  <c r="S283" i="4"/>
  <c r="S275" i="4"/>
  <c r="S267" i="4"/>
  <c r="S259" i="4"/>
  <c r="S251" i="4"/>
  <c r="S243" i="4"/>
  <c r="S235" i="4"/>
  <c r="S227" i="4"/>
  <c r="S219" i="4"/>
  <c r="S211" i="4"/>
  <c r="S203" i="4"/>
  <c r="S195" i="4"/>
  <c r="S187" i="4"/>
  <c r="S179" i="4"/>
  <c r="S171" i="4"/>
  <c r="S163" i="4"/>
  <c r="S155" i="4"/>
  <c r="S147" i="4"/>
  <c r="S139" i="4"/>
  <c r="S131" i="4"/>
  <c r="S123" i="4"/>
  <c r="S115" i="4"/>
  <c r="S107" i="4"/>
  <c r="S99" i="4"/>
  <c r="S91" i="4"/>
  <c r="S83" i="4"/>
  <c r="S75" i="4"/>
  <c r="S67" i="4"/>
  <c r="S59" i="4"/>
  <c r="S51" i="4"/>
  <c r="S43" i="4"/>
  <c r="S35" i="4"/>
  <c r="S27" i="4"/>
  <c r="S19" i="4"/>
  <c r="S11" i="4"/>
  <c r="S399" i="4"/>
  <c r="S359" i="4"/>
  <c r="S311" i="4"/>
  <c r="S271" i="4"/>
  <c r="S223" i="4"/>
  <c r="S39" i="4"/>
  <c r="S410" i="4"/>
  <c r="S402" i="4"/>
  <c r="S394" i="4"/>
  <c r="S386" i="4"/>
  <c r="S378" i="4"/>
  <c r="S370" i="4"/>
  <c r="S362" i="4"/>
  <c r="S354" i="4"/>
  <c r="S346" i="4"/>
  <c r="S338" i="4"/>
  <c r="S330" i="4"/>
  <c r="S322" i="4"/>
  <c r="S314" i="4"/>
  <c r="S306" i="4"/>
  <c r="S298" i="4"/>
  <c r="S290" i="4"/>
  <c r="S282" i="4"/>
  <c r="S274" i="4"/>
  <c r="S266" i="4"/>
  <c r="S258" i="4"/>
  <c r="S250" i="4"/>
  <c r="S242" i="4"/>
  <c r="S234" i="4"/>
  <c r="S226" i="4"/>
  <c r="S218" i="4"/>
  <c r="S210" i="4"/>
  <c r="S202" i="4"/>
  <c r="S194" i="4"/>
  <c r="S186" i="4"/>
  <c r="S178" i="4"/>
  <c r="S170" i="4"/>
  <c r="S162" i="4"/>
  <c r="S154" i="4"/>
  <c r="S146" i="4"/>
  <c r="S138" i="4"/>
  <c r="S130" i="4"/>
  <c r="S122" i="4"/>
  <c r="S114" i="4"/>
  <c r="S106" i="4"/>
  <c r="S98" i="4"/>
  <c r="S90" i="4"/>
  <c r="S82" i="4"/>
  <c r="S74" i="4"/>
  <c r="S66" i="4"/>
  <c r="S58" i="4"/>
  <c r="S50" i="4"/>
  <c r="S42" i="4"/>
  <c r="S34" i="4"/>
  <c r="S26" i="4"/>
  <c r="S18" i="4"/>
  <c r="S10" i="4"/>
  <c r="U11" i="4" l="1"/>
  <c r="V11" i="4" s="1" a="1"/>
  <c r="V11" i="4" s="1"/>
  <c r="U226" i="4"/>
  <c r="V226" i="4" s="1" a="1"/>
  <c r="V226" i="4" s="1"/>
  <c r="U211" i="4"/>
  <c r="V211" i="4" s="1" a="1"/>
  <c r="V211" i="4" s="1"/>
  <c r="U106" i="4"/>
  <c r="V106" i="4" s="1" a="1"/>
  <c r="V106" i="4" s="1"/>
  <c r="U39" i="4"/>
  <c r="V39" i="4" s="1" a="1"/>
  <c r="V39" i="4" s="1"/>
  <c r="U283" i="4"/>
  <c r="V283" i="4" s="1" a="1"/>
  <c r="V283" i="4" s="1"/>
  <c r="U124" i="4"/>
  <c r="V124" i="4" s="1" a="1"/>
  <c r="V124" i="4" s="1"/>
  <c r="U66" i="4"/>
  <c r="V66" i="4" s="1" a="1"/>
  <c r="V66" i="4" s="1"/>
  <c r="U130" i="4"/>
  <c r="V130" i="4" s="1" a="1"/>
  <c r="V130" i="4" s="1"/>
  <c r="U194" i="4"/>
  <c r="V194" i="4" s="1" a="1"/>
  <c r="V194" i="4" s="1"/>
  <c r="U258" i="4"/>
  <c r="V258" i="4" s="1" a="1"/>
  <c r="V258" i="4" s="1"/>
  <c r="U322" i="4"/>
  <c r="V322" i="4" s="1" a="1"/>
  <c r="V322" i="4" s="1"/>
  <c r="U386" i="4"/>
  <c r="V386" i="4" s="1" a="1"/>
  <c r="V386" i="4" s="1"/>
  <c r="U311" i="4"/>
  <c r="V311" i="4" s="1" a="1"/>
  <c r="V311" i="4" s="1"/>
  <c r="U51" i="4"/>
  <c r="V51" i="4" s="1" a="1"/>
  <c r="V51" i="4" s="1"/>
  <c r="U115" i="4"/>
  <c r="V115" i="4" s="1" a="1"/>
  <c r="V115" i="4" s="1"/>
  <c r="U179" i="4"/>
  <c r="V179" i="4" s="1" a="1"/>
  <c r="V179" i="4" s="1"/>
  <c r="U243" i="4"/>
  <c r="V243" i="4" s="1" a="1"/>
  <c r="V243" i="4" s="1"/>
  <c r="U307" i="4"/>
  <c r="V307" i="4" s="1" a="1"/>
  <c r="V307" i="4" s="1"/>
  <c r="U371" i="4"/>
  <c r="V371" i="4" s="1" a="1"/>
  <c r="V371" i="4" s="1"/>
  <c r="U183" i="4"/>
  <c r="V183" i="4" s="1" a="1"/>
  <c r="V183" i="4" s="1"/>
  <c r="U20" i="4"/>
  <c r="V20" i="4" s="1" a="1"/>
  <c r="V20" i="4" s="1"/>
  <c r="U84" i="4"/>
  <c r="V84" i="4" s="1" a="1"/>
  <c r="V84" i="4" s="1"/>
  <c r="U148" i="4"/>
  <c r="V148" i="4" s="1" a="1"/>
  <c r="V148" i="4" s="1"/>
  <c r="U212" i="4"/>
  <c r="V212" i="4" s="1" a="1"/>
  <c r="V212" i="4" s="1"/>
  <c r="U276" i="4"/>
  <c r="V276" i="4" s="1" a="1"/>
  <c r="V276" i="4" s="1"/>
  <c r="U340" i="4"/>
  <c r="V340" i="4" s="1" a="1"/>
  <c r="V340" i="4" s="1"/>
  <c r="U404" i="4"/>
  <c r="V404" i="4" s="1" a="1"/>
  <c r="V404" i="4" s="1"/>
  <c r="U415" i="4"/>
  <c r="V415" i="4" s="1" a="1"/>
  <c r="V415" i="4" s="1"/>
  <c r="U69" i="4"/>
  <c r="V69" i="4" s="1" a="1"/>
  <c r="V69" i="4" s="1"/>
  <c r="U133" i="4"/>
  <c r="V133" i="4" s="1" a="1"/>
  <c r="V133" i="4" s="1"/>
  <c r="U197" i="4"/>
  <c r="V197" i="4" s="1" a="1"/>
  <c r="V197" i="4" s="1"/>
  <c r="U261" i="4"/>
  <c r="V261" i="4" s="1" a="1"/>
  <c r="V261" i="4" s="1"/>
  <c r="U325" i="4"/>
  <c r="V325" i="4" s="1" a="1"/>
  <c r="V325" i="4" s="1"/>
  <c r="U389" i="4"/>
  <c r="V389" i="4" s="1" a="1"/>
  <c r="V389" i="4" s="1"/>
  <c r="U30" i="4"/>
  <c r="V30" i="4" s="1" a="1"/>
  <c r="V30" i="4" s="1"/>
  <c r="U102" i="4"/>
  <c r="V102" i="4" s="1" a="1"/>
  <c r="V102" i="4" s="1"/>
  <c r="U166" i="4"/>
  <c r="V166" i="4" s="1" a="1"/>
  <c r="V166" i="4" s="1"/>
  <c r="U230" i="4"/>
  <c r="V230" i="4" s="1" a="1"/>
  <c r="V230" i="4" s="1"/>
  <c r="U294" i="4"/>
  <c r="V294" i="4" s="1" a="1"/>
  <c r="V294" i="4" s="1"/>
  <c r="U358" i="4"/>
  <c r="V358" i="4" s="1" a="1"/>
  <c r="V358" i="4" s="1"/>
  <c r="U422" i="4"/>
  <c r="V422" i="4" s="1" a="1"/>
  <c r="V422" i="4" s="1"/>
  <c r="U111" i="4"/>
  <c r="V111" i="4" s="1" a="1"/>
  <c r="V111" i="4" s="1"/>
  <c r="U175" i="4"/>
  <c r="V175" i="4" s="1" a="1"/>
  <c r="V175" i="4" s="1"/>
  <c r="U17" i="4"/>
  <c r="V17" i="4" s="1" a="1"/>
  <c r="V17" i="4" s="1"/>
  <c r="U81" i="4"/>
  <c r="V81" i="4" s="1" a="1"/>
  <c r="V81" i="4" s="1"/>
  <c r="U145" i="4"/>
  <c r="V145" i="4" s="1" a="1"/>
  <c r="V145" i="4" s="1"/>
  <c r="U209" i="4"/>
  <c r="V209" i="4" s="1" a="1"/>
  <c r="V209" i="4" s="1"/>
  <c r="U273" i="4"/>
  <c r="V273" i="4" s="1" a="1"/>
  <c r="V273" i="4" s="1"/>
  <c r="U337" i="4"/>
  <c r="V337" i="4" s="1" a="1"/>
  <c r="V337" i="4" s="1"/>
  <c r="U401" i="4"/>
  <c r="V401" i="4" s="1" a="1"/>
  <c r="V401" i="4" s="1"/>
  <c r="U327" i="4"/>
  <c r="V327" i="4" s="1" a="1"/>
  <c r="V327" i="4" s="1"/>
  <c r="U32" i="4"/>
  <c r="V32" i="4" s="1" a="1"/>
  <c r="V32" i="4" s="1"/>
  <c r="U96" i="4"/>
  <c r="V96" i="4" s="1" a="1"/>
  <c r="V96" i="4" s="1"/>
  <c r="U160" i="4"/>
  <c r="V160" i="4" s="1" a="1"/>
  <c r="V160" i="4" s="1"/>
  <c r="U224" i="4"/>
  <c r="V224" i="4" s="1" a="1"/>
  <c r="V224" i="4" s="1"/>
  <c r="U288" i="4"/>
  <c r="V288" i="4" s="1" a="1"/>
  <c r="V288" i="4" s="1"/>
  <c r="U368" i="4"/>
  <c r="V368" i="4" s="1" a="1"/>
  <c r="V368" i="4" s="1"/>
  <c r="U352" i="4"/>
  <c r="V352" i="4" s="1" a="1"/>
  <c r="V352" i="4" s="1"/>
  <c r="U346" i="4"/>
  <c r="V346" i="4" s="1" a="1"/>
  <c r="V346" i="4" s="1"/>
  <c r="U290" i="4"/>
  <c r="V290" i="4" s="1" a="1"/>
  <c r="V290" i="4" s="1"/>
  <c r="U10" i="4"/>
  <c r="V10" i="4" s="1" a="1"/>
  <c r="V10" i="4" s="1"/>
  <c r="U74" i="4"/>
  <c r="V74" i="4" s="1" a="1"/>
  <c r="V74" i="4" s="1"/>
  <c r="U138" i="4"/>
  <c r="V138" i="4" s="1" a="1"/>
  <c r="V138" i="4" s="1"/>
  <c r="U202" i="4"/>
  <c r="V202" i="4" s="1" a="1"/>
  <c r="V202" i="4" s="1"/>
  <c r="U266" i="4"/>
  <c r="V266" i="4" s="1" a="1"/>
  <c r="V266" i="4" s="1"/>
  <c r="U330" i="4"/>
  <c r="V330" i="4" s="1" a="1"/>
  <c r="V330" i="4" s="1"/>
  <c r="U394" i="4"/>
  <c r="V394" i="4" s="1" a="1"/>
  <c r="V394" i="4" s="1"/>
  <c r="U359" i="4"/>
  <c r="V359" i="4" s="1" a="1"/>
  <c r="V359" i="4" s="1"/>
  <c r="U59" i="4"/>
  <c r="V59" i="4" s="1" a="1"/>
  <c r="V59" i="4" s="1"/>
  <c r="U123" i="4"/>
  <c r="V123" i="4" s="1" a="1"/>
  <c r="V123" i="4" s="1"/>
  <c r="U187" i="4"/>
  <c r="V187" i="4" s="1" a="1"/>
  <c r="V187" i="4" s="1"/>
  <c r="U251" i="4"/>
  <c r="V251" i="4" s="1" a="1"/>
  <c r="V251" i="4" s="1"/>
  <c r="U315" i="4"/>
  <c r="V315" i="4" s="1" a="1"/>
  <c r="V315" i="4" s="1"/>
  <c r="U379" i="4"/>
  <c r="V379" i="4" s="1" a="1"/>
  <c r="V379" i="4" s="1"/>
  <c r="U215" i="4"/>
  <c r="V215" i="4" s="1" a="1"/>
  <c r="V215" i="4" s="1"/>
  <c r="U28" i="4"/>
  <c r="V28" i="4" s="1" a="1"/>
  <c r="V28" i="4" s="1"/>
  <c r="U92" i="4"/>
  <c r="V92" i="4" s="1" a="1"/>
  <c r="V92" i="4" s="1"/>
  <c r="U156" i="4"/>
  <c r="V156" i="4" s="1" a="1"/>
  <c r="V156" i="4" s="1"/>
  <c r="U220" i="4"/>
  <c r="V220" i="4" s="1" a="1"/>
  <c r="V220" i="4" s="1"/>
  <c r="U284" i="4"/>
  <c r="V284" i="4" s="1" a="1"/>
  <c r="V284" i="4" s="1"/>
  <c r="U348" i="4"/>
  <c r="V348" i="4" s="1" a="1"/>
  <c r="V348" i="4" s="1"/>
  <c r="U412" i="4"/>
  <c r="V412" i="4" s="1" a="1"/>
  <c r="V412" i="4" s="1"/>
  <c r="U13" i="4"/>
  <c r="V13" i="4" s="1" a="1"/>
  <c r="V13" i="4" s="1"/>
  <c r="U77" i="4"/>
  <c r="V77" i="4" s="1" a="1"/>
  <c r="V77" i="4" s="1"/>
  <c r="U141" i="4"/>
  <c r="V141" i="4" s="1" a="1"/>
  <c r="V141" i="4" s="1"/>
  <c r="U205" i="4"/>
  <c r="V205" i="4" s="1" a="1"/>
  <c r="V205" i="4" s="1"/>
  <c r="U269" i="4"/>
  <c r="V269" i="4" s="1" a="1"/>
  <c r="V269" i="4" s="1"/>
  <c r="U333" i="4"/>
  <c r="V333" i="4" s="1" a="1"/>
  <c r="V333" i="4" s="1"/>
  <c r="U397" i="4"/>
  <c r="V397" i="4" s="1" a="1"/>
  <c r="V397" i="4" s="1"/>
  <c r="U38" i="4"/>
  <c r="V38" i="4" s="1" a="1"/>
  <c r="V38" i="4" s="1"/>
  <c r="U110" i="4"/>
  <c r="V110" i="4" s="1" a="1"/>
  <c r="V110" i="4" s="1"/>
  <c r="U174" i="4"/>
  <c r="V174" i="4" s="1" a="1"/>
  <c r="V174" i="4" s="1"/>
  <c r="U238" i="4"/>
  <c r="V238" i="4" s="1" a="1"/>
  <c r="V238" i="4" s="1"/>
  <c r="U302" i="4"/>
  <c r="V302" i="4" s="1" a="1"/>
  <c r="V302" i="4" s="1"/>
  <c r="U366" i="4"/>
  <c r="V366" i="4" s="1" a="1"/>
  <c r="V366" i="4" s="1"/>
  <c r="U15" i="4"/>
  <c r="V15" i="4" s="1" a="1"/>
  <c r="V15" i="4" s="1"/>
  <c r="U119" i="4"/>
  <c r="V119" i="4" s="1" a="1"/>
  <c r="V119" i="4" s="1"/>
  <c r="U199" i="4"/>
  <c r="V199" i="4" s="1" a="1"/>
  <c r="V199" i="4" s="1"/>
  <c r="U25" i="4"/>
  <c r="V25" i="4" s="1" a="1"/>
  <c r="V25" i="4" s="1"/>
  <c r="U89" i="4"/>
  <c r="V89" i="4" s="1" a="1"/>
  <c r="V89" i="4" s="1"/>
  <c r="U153" i="4"/>
  <c r="V153" i="4" s="1" a="1"/>
  <c r="V153" i="4" s="1"/>
  <c r="U217" i="4"/>
  <c r="V217" i="4" s="1" a="1"/>
  <c r="V217" i="4" s="1"/>
  <c r="U281" i="4"/>
  <c r="V281" i="4" s="1" a="1"/>
  <c r="V281" i="4" s="1"/>
  <c r="U345" i="4"/>
  <c r="V345" i="4" s="1" a="1"/>
  <c r="V345" i="4" s="1"/>
  <c r="U409" i="4"/>
  <c r="V409" i="4" s="1" a="1"/>
  <c r="V409" i="4" s="1"/>
  <c r="U343" i="4"/>
  <c r="V343" i="4" s="1" a="1"/>
  <c r="V343" i="4" s="1"/>
  <c r="U40" i="4"/>
  <c r="V40" i="4" s="1" a="1"/>
  <c r="V40" i="4" s="1"/>
  <c r="U104" i="4"/>
  <c r="V104" i="4" s="1" a="1"/>
  <c r="V104" i="4" s="1"/>
  <c r="U168" i="4"/>
  <c r="V168" i="4" s="1" a="1"/>
  <c r="V168" i="4" s="1"/>
  <c r="U232" i="4"/>
  <c r="V232" i="4" s="1" a="1"/>
  <c r="V232" i="4" s="1"/>
  <c r="U296" i="4"/>
  <c r="V296" i="4" s="1" a="1"/>
  <c r="V296" i="4" s="1"/>
  <c r="U376" i="4"/>
  <c r="V376" i="4" s="1" a="1"/>
  <c r="V376" i="4" s="1"/>
  <c r="U282" i="4"/>
  <c r="V282" i="4" s="1" a="1"/>
  <c r="V282" i="4" s="1"/>
  <c r="U162" i="4"/>
  <c r="V162" i="4" s="1" a="1"/>
  <c r="V162" i="4" s="1"/>
  <c r="U147" i="4"/>
  <c r="V147" i="4" s="1" a="1"/>
  <c r="V147" i="4" s="1"/>
  <c r="U42" i="4"/>
  <c r="V42" i="4" s="1" a="1"/>
  <c r="V42" i="4" s="1"/>
  <c r="U362" i="4"/>
  <c r="V362" i="4" s="1" a="1"/>
  <c r="V362" i="4" s="1"/>
  <c r="U219" i="4"/>
  <c r="V219" i="4" s="1" a="1"/>
  <c r="V219" i="4" s="1"/>
  <c r="U60" i="4"/>
  <c r="V60" i="4" s="1" a="1"/>
  <c r="V60" i="4" s="1"/>
  <c r="U380" i="4"/>
  <c r="V380" i="4" s="1" a="1"/>
  <c r="V380" i="4" s="1"/>
  <c r="U18" i="4"/>
  <c r="V18" i="4" s="1" a="1"/>
  <c r="V18" i="4" s="1"/>
  <c r="U82" i="4"/>
  <c r="V82" i="4" s="1" a="1"/>
  <c r="V82" i="4" s="1"/>
  <c r="U146" i="4"/>
  <c r="V146" i="4" s="1" a="1"/>
  <c r="V146" i="4" s="1"/>
  <c r="U210" i="4"/>
  <c r="V210" i="4" s="1" a="1"/>
  <c r="V210" i="4" s="1"/>
  <c r="U274" i="4"/>
  <c r="V274" i="4" s="1" a="1"/>
  <c r="V274" i="4" s="1"/>
  <c r="U338" i="4"/>
  <c r="V338" i="4" s="1" a="1"/>
  <c r="V338" i="4" s="1"/>
  <c r="U402" i="4"/>
  <c r="V402" i="4" s="1" a="1"/>
  <c r="V402" i="4" s="1"/>
  <c r="U399" i="4"/>
  <c r="V399" i="4" s="1" a="1"/>
  <c r="V399" i="4" s="1"/>
  <c r="U67" i="4"/>
  <c r="V67" i="4" s="1" a="1"/>
  <c r="V67" i="4" s="1"/>
  <c r="U131" i="4"/>
  <c r="V131" i="4" s="1" a="1"/>
  <c r="V131" i="4" s="1"/>
  <c r="U195" i="4"/>
  <c r="V195" i="4" s="1" a="1"/>
  <c r="V195" i="4" s="1"/>
  <c r="U259" i="4"/>
  <c r="V259" i="4" s="1" a="1"/>
  <c r="V259" i="4" s="1"/>
  <c r="U323" i="4"/>
  <c r="V323" i="4" s="1" a="1"/>
  <c r="V323" i="4" s="1"/>
  <c r="U387" i="4"/>
  <c r="V387" i="4" s="1" a="1"/>
  <c r="V387" i="4" s="1"/>
  <c r="U247" i="4"/>
  <c r="V247" i="4" s="1" a="1"/>
  <c r="V247" i="4" s="1"/>
  <c r="U36" i="4"/>
  <c r="V36" i="4" s="1" a="1"/>
  <c r="V36" i="4" s="1"/>
  <c r="U100" i="4"/>
  <c r="V100" i="4" s="1" a="1"/>
  <c r="V100" i="4" s="1"/>
  <c r="U164" i="4"/>
  <c r="V164" i="4" s="1" a="1"/>
  <c r="V164" i="4" s="1"/>
  <c r="U228" i="4"/>
  <c r="V228" i="4" s="1" a="1"/>
  <c r="V228" i="4" s="1"/>
  <c r="U292" i="4"/>
  <c r="V292" i="4" s="1" a="1"/>
  <c r="V292" i="4" s="1"/>
  <c r="U356" i="4"/>
  <c r="V356" i="4" s="1" a="1"/>
  <c r="V356" i="4" s="1"/>
  <c r="U420" i="4"/>
  <c r="V420" i="4" s="1" a="1"/>
  <c r="V420" i="4" s="1"/>
  <c r="U21" i="4"/>
  <c r="V21" i="4" s="1" a="1"/>
  <c r="V21" i="4" s="1"/>
  <c r="U149" i="4"/>
  <c r="V149" i="4" s="1" a="1"/>
  <c r="V149" i="4" s="1"/>
  <c r="U213" i="4"/>
  <c r="V213" i="4" s="1" a="1"/>
  <c r="V213" i="4" s="1"/>
  <c r="U277" i="4"/>
  <c r="V277" i="4" s="1" a="1"/>
  <c r="V277" i="4" s="1"/>
  <c r="U405" i="4"/>
  <c r="V405" i="4" s="1" a="1"/>
  <c r="V405" i="4" s="1"/>
  <c r="U118" i="4"/>
  <c r="V118" i="4" s="1" a="1"/>
  <c r="V118" i="4" s="1"/>
  <c r="U182" i="4"/>
  <c r="V182" i="4" s="1" a="1"/>
  <c r="V182" i="4" s="1"/>
  <c r="U246" i="4"/>
  <c r="V246" i="4" s="1" a="1"/>
  <c r="V246" i="4" s="1"/>
  <c r="U310" i="4"/>
  <c r="V310" i="4" s="1" a="1"/>
  <c r="V310" i="4" s="1"/>
  <c r="U374" i="4"/>
  <c r="V374" i="4" s="1" a="1"/>
  <c r="V374" i="4" s="1"/>
  <c r="U47" i="4"/>
  <c r="V47" i="4" s="1" a="1"/>
  <c r="V47" i="4" s="1"/>
  <c r="U127" i="4"/>
  <c r="V127" i="4" s="1" a="1"/>
  <c r="V127" i="4" s="1"/>
  <c r="U231" i="4"/>
  <c r="V231" i="4" s="1" a="1"/>
  <c r="V231" i="4" s="1"/>
  <c r="U33" i="4"/>
  <c r="V33" i="4" s="1" a="1"/>
  <c r="V33" i="4" s="1"/>
  <c r="U97" i="4"/>
  <c r="V97" i="4" s="1" a="1"/>
  <c r="V97" i="4" s="1"/>
  <c r="U161" i="4"/>
  <c r="V161" i="4" s="1" a="1"/>
  <c r="V161" i="4" s="1"/>
  <c r="U225" i="4"/>
  <c r="V225" i="4" s="1" a="1"/>
  <c r="V225" i="4" s="1"/>
  <c r="U289" i="4"/>
  <c r="V289" i="4" s="1" a="1"/>
  <c r="V289" i="4" s="1"/>
  <c r="U353" i="4"/>
  <c r="V353" i="4" s="1" a="1"/>
  <c r="V353" i="4" s="1"/>
  <c r="U391" i="4"/>
  <c r="V391" i="4" s="1" a="1"/>
  <c r="V391" i="4" s="1"/>
  <c r="U48" i="4"/>
  <c r="V48" i="4" s="1" a="1"/>
  <c r="V48" i="4" s="1"/>
  <c r="U112" i="4"/>
  <c r="V112" i="4" s="1" a="1"/>
  <c r="V112" i="4" s="1"/>
  <c r="U176" i="4"/>
  <c r="V176" i="4" s="1" a="1"/>
  <c r="V176" i="4" s="1"/>
  <c r="U240" i="4"/>
  <c r="V240" i="4" s="1" a="1"/>
  <c r="V240" i="4" s="1"/>
  <c r="U304" i="4"/>
  <c r="V304" i="4" s="1" a="1"/>
  <c r="V304" i="4" s="1"/>
  <c r="U384" i="4"/>
  <c r="V384" i="4" s="1" a="1"/>
  <c r="V384" i="4" s="1"/>
  <c r="U410" i="4"/>
  <c r="V410" i="4" s="1" a="1"/>
  <c r="V410" i="4" s="1"/>
  <c r="U203" i="4"/>
  <c r="V203" i="4" s="1" a="1"/>
  <c r="V203" i="4" s="1"/>
  <c r="U267" i="4"/>
  <c r="V267" i="4" s="1" a="1"/>
  <c r="V267" i="4" s="1"/>
  <c r="U331" i="4"/>
  <c r="V331" i="4" s="1" a="1"/>
  <c r="V331" i="4" s="1"/>
  <c r="U395" i="4"/>
  <c r="V395" i="4" s="1" a="1"/>
  <c r="V395" i="4" s="1"/>
  <c r="U287" i="4"/>
  <c r="V287" i="4" s="1" a="1"/>
  <c r="V287" i="4" s="1"/>
  <c r="U44" i="4"/>
  <c r="V44" i="4" s="1" a="1"/>
  <c r="V44" i="4" s="1"/>
  <c r="U108" i="4"/>
  <c r="V108" i="4" s="1" a="1"/>
  <c r="V108" i="4" s="1"/>
  <c r="U172" i="4"/>
  <c r="V172" i="4" s="1" a="1"/>
  <c r="V172" i="4" s="1"/>
  <c r="U236" i="4"/>
  <c r="V236" i="4" s="1" a="1"/>
  <c r="V236" i="4" s="1"/>
  <c r="U300" i="4"/>
  <c r="V300" i="4" s="1" a="1"/>
  <c r="V300" i="4" s="1"/>
  <c r="U364" i="4"/>
  <c r="V364" i="4" s="1" a="1"/>
  <c r="V364" i="4" s="1"/>
  <c r="U55" i="4"/>
  <c r="V55" i="4" s="1" a="1"/>
  <c r="V55" i="4" s="1"/>
  <c r="U29" i="4"/>
  <c r="V29" i="4" s="1" a="1"/>
  <c r="V29" i="4" s="1"/>
  <c r="U93" i="4"/>
  <c r="V93" i="4" s="1" a="1"/>
  <c r="V93" i="4" s="1"/>
  <c r="U157" i="4"/>
  <c r="V157" i="4" s="1" a="1"/>
  <c r="V157" i="4" s="1"/>
  <c r="U221" i="4"/>
  <c r="V221" i="4" s="1" a="1"/>
  <c r="V221" i="4" s="1"/>
  <c r="U285" i="4"/>
  <c r="V285" i="4" s="1" a="1"/>
  <c r="V285" i="4" s="1"/>
  <c r="U349" i="4"/>
  <c r="V349" i="4" s="1" a="1"/>
  <c r="V349" i="4" s="1"/>
  <c r="U413" i="4"/>
  <c r="V413" i="4" s="1" a="1"/>
  <c r="V413" i="4" s="1"/>
  <c r="U54" i="4"/>
  <c r="V54" i="4" s="1" a="1"/>
  <c r="V54" i="4" s="1"/>
  <c r="U126" i="4"/>
  <c r="V126" i="4" s="1" a="1"/>
  <c r="V126" i="4" s="1"/>
  <c r="U190" i="4"/>
  <c r="V190" i="4" s="1" a="1"/>
  <c r="V190" i="4" s="1"/>
  <c r="U254" i="4"/>
  <c r="V254" i="4" s="1" a="1"/>
  <c r="V254" i="4" s="1"/>
  <c r="U318" i="4"/>
  <c r="V318" i="4" s="1" a="1"/>
  <c r="V318" i="4" s="1"/>
  <c r="U382" i="4"/>
  <c r="V382" i="4" s="1" a="1"/>
  <c r="V382" i="4" s="1"/>
  <c r="U63" i="4"/>
  <c r="V63" i="4" s="1" a="1"/>
  <c r="V63" i="4" s="1"/>
  <c r="U135" i="4"/>
  <c r="V135" i="4" s="1" a="1"/>
  <c r="V135" i="4" s="1"/>
  <c r="U263" i="4"/>
  <c r="V263" i="4" s="1" a="1"/>
  <c r="V263" i="4" s="1"/>
  <c r="U41" i="4"/>
  <c r="V41" i="4" s="1" a="1"/>
  <c r="V41" i="4" s="1"/>
  <c r="U105" i="4"/>
  <c r="V105" i="4" s="1" a="1"/>
  <c r="V105" i="4" s="1"/>
  <c r="U169" i="4"/>
  <c r="V169" i="4" s="1" a="1"/>
  <c r="V169" i="4" s="1"/>
  <c r="U233" i="4"/>
  <c r="V233" i="4" s="1" a="1"/>
  <c r="V233" i="4" s="1"/>
  <c r="U297" i="4"/>
  <c r="V297" i="4" s="1" a="1"/>
  <c r="V297" i="4" s="1"/>
  <c r="U361" i="4"/>
  <c r="V361" i="4" s="1" a="1"/>
  <c r="V361" i="4" s="1"/>
  <c r="U23" i="4"/>
  <c r="V23" i="4" s="1" a="1"/>
  <c r="V23" i="4" s="1"/>
  <c r="U423" i="4"/>
  <c r="V423" i="4" s="1" a="1"/>
  <c r="V423" i="4" s="1"/>
  <c r="U56" i="4"/>
  <c r="V56" i="4" s="1" a="1"/>
  <c r="V56" i="4" s="1"/>
  <c r="U120" i="4"/>
  <c r="V120" i="4" s="1" a="1"/>
  <c r="V120" i="4" s="1"/>
  <c r="U184" i="4"/>
  <c r="V184" i="4" s="1" a="1"/>
  <c r="V184" i="4" s="1"/>
  <c r="U248" i="4"/>
  <c r="V248" i="4" s="1" a="1"/>
  <c r="V248" i="4" s="1"/>
  <c r="U312" i="4"/>
  <c r="V312" i="4" s="1" a="1"/>
  <c r="V312" i="4" s="1"/>
  <c r="U392" i="4"/>
  <c r="V392" i="4" s="1" a="1"/>
  <c r="V392" i="4" s="1"/>
  <c r="U218" i="4"/>
  <c r="V218" i="4" s="1" a="1"/>
  <c r="V218" i="4" s="1"/>
  <c r="U98" i="4"/>
  <c r="V98" i="4" s="1" a="1"/>
  <c r="V98" i="4" s="1"/>
  <c r="U83" i="4"/>
  <c r="V83" i="4" s="1" a="1"/>
  <c r="V83" i="4" s="1"/>
  <c r="U403" i="4"/>
  <c r="V403" i="4" s="1" a="1"/>
  <c r="V403" i="4" s="1"/>
  <c r="U52" i="4"/>
  <c r="V52" i="4" s="1" a="1"/>
  <c r="V52" i="4" s="1"/>
  <c r="U116" i="4"/>
  <c r="V116" i="4" s="1" a="1"/>
  <c r="V116" i="4" s="1"/>
  <c r="U180" i="4"/>
  <c r="V180" i="4" s="1" a="1"/>
  <c r="V180" i="4" s="1"/>
  <c r="U244" i="4"/>
  <c r="V244" i="4" s="1" a="1"/>
  <c r="V244" i="4" s="1"/>
  <c r="U308" i="4"/>
  <c r="V308" i="4" s="1" a="1"/>
  <c r="V308" i="4" s="1"/>
  <c r="U372" i="4"/>
  <c r="V372" i="4" s="1" a="1"/>
  <c r="V372" i="4" s="1"/>
  <c r="U255" i="4"/>
  <c r="V255" i="4" s="1" a="1"/>
  <c r="V255" i="4" s="1"/>
  <c r="U37" i="4"/>
  <c r="V37" i="4" s="1" a="1"/>
  <c r="V37" i="4" s="1"/>
  <c r="U101" i="4"/>
  <c r="V101" i="4" s="1" a="1"/>
  <c r="V101" i="4" s="1"/>
  <c r="U165" i="4"/>
  <c r="V165" i="4" s="1" a="1"/>
  <c r="V165" i="4" s="1"/>
  <c r="U229" i="4"/>
  <c r="V229" i="4" s="1" a="1"/>
  <c r="V229" i="4" s="1"/>
  <c r="U293" i="4"/>
  <c r="V293" i="4" s="1" a="1"/>
  <c r="V293" i="4" s="1"/>
  <c r="U357" i="4"/>
  <c r="V357" i="4" s="1" a="1"/>
  <c r="V357" i="4" s="1"/>
  <c r="U421" i="4"/>
  <c r="V421" i="4" s="1" a="1"/>
  <c r="V421" i="4" s="1"/>
  <c r="U62" i="4"/>
  <c r="V62" i="4" s="1" a="1"/>
  <c r="V62" i="4" s="1"/>
  <c r="U134" i="4"/>
  <c r="V134" i="4" s="1" a="1"/>
  <c r="V134" i="4" s="1"/>
  <c r="U198" i="4"/>
  <c r="V198" i="4" s="1" a="1"/>
  <c r="V198" i="4" s="1"/>
  <c r="U262" i="4"/>
  <c r="V262" i="4" s="1" a="1"/>
  <c r="V262" i="4" s="1"/>
  <c r="U326" i="4"/>
  <c r="V326" i="4" s="1" a="1"/>
  <c r="V326" i="4" s="1"/>
  <c r="U390" i="4"/>
  <c r="V390" i="4" s="1" a="1"/>
  <c r="V390" i="4" s="1"/>
  <c r="U71" i="4"/>
  <c r="V71" i="4" s="1" a="1"/>
  <c r="V71" i="4" s="1"/>
  <c r="U143" i="4"/>
  <c r="V143" i="4" s="1" a="1"/>
  <c r="V143" i="4" s="1"/>
  <c r="U319" i="4"/>
  <c r="V319" i="4" s="1" a="1"/>
  <c r="V319" i="4" s="1"/>
  <c r="U113" i="4"/>
  <c r="V113" i="4" s="1" a="1"/>
  <c r="V113" i="4" s="1"/>
  <c r="U177" i="4"/>
  <c r="V177" i="4" s="1" a="1"/>
  <c r="V177" i="4" s="1"/>
  <c r="U241" i="4"/>
  <c r="V241" i="4" s="1" a="1"/>
  <c r="V241" i="4" s="1"/>
  <c r="U305" i="4"/>
  <c r="V305" i="4" s="1" a="1"/>
  <c r="V305" i="4" s="1"/>
  <c r="U369" i="4"/>
  <c r="V369" i="4" s="1" a="1"/>
  <c r="V369" i="4" s="1"/>
  <c r="U191" i="4"/>
  <c r="V191" i="4" s="1" a="1"/>
  <c r="V191" i="4" s="1"/>
  <c r="U16" i="4"/>
  <c r="V16" i="4" s="1" a="1"/>
  <c r="V16" i="4" s="1"/>
  <c r="U64" i="4"/>
  <c r="V64" i="4" s="1" a="1"/>
  <c r="V64" i="4" s="1"/>
  <c r="U128" i="4"/>
  <c r="V128" i="4" s="1" a="1"/>
  <c r="V128" i="4" s="1"/>
  <c r="U192" i="4"/>
  <c r="V192" i="4" s="1" a="1"/>
  <c r="V192" i="4" s="1"/>
  <c r="U256" i="4"/>
  <c r="V256" i="4" s="1" a="1"/>
  <c r="V256" i="4" s="1"/>
  <c r="U320" i="4"/>
  <c r="V320" i="4" s="1" a="1"/>
  <c r="V320" i="4" s="1"/>
  <c r="U400" i="4"/>
  <c r="V400" i="4" s="1" a="1"/>
  <c r="V400" i="4" s="1"/>
  <c r="U154" i="4"/>
  <c r="V154" i="4" s="1" a="1"/>
  <c r="V154" i="4" s="1"/>
  <c r="U34" i="4"/>
  <c r="V34" i="4" s="1" a="1"/>
  <c r="V34" i="4" s="1"/>
  <c r="U19" i="4"/>
  <c r="V19" i="4" s="1" a="1"/>
  <c r="V19" i="4" s="1"/>
  <c r="U303" i="4"/>
  <c r="V303" i="4" s="1" a="1"/>
  <c r="V303" i="4" s="1"/>
  <c r="U298" i="4"/>
  <c r="V298" i="4" s="1" a="1"/>
  <c r="V298" i="4" s="1"/>
  <c r="U155" i="4"/>
  <c r="V155" i="4" s="1" a="1"/>
  <c r="V155" i="4" s="1"/>
  <c r="U351" i="4"/>
  <c r="V351" i="4" s="1" a="1"/>
  <c r="V351" i="4" s="1"/>
  <c r="U252" i="4"/>
  <c r="V252" i="4" s="1" a="1"/>
  <c r="V252" i="4" s="1"/>
  <c r="U109" i="4"/>
  <c r="V109" i="4" s="1" a="1"/>
  <c r="V109" i="4" s="1"/>
  <c r="U173" i="4"/>
  <c r="V173" i="4" s="1" a="1"/>
  <c r="V173" i="4" s="1"/>
  <c r="U237" i="4"/>
  <c r="V237" i="4" s="1" a="1"/>
  <c r="V237" i="4" s="1"/>
  <c r="U301" i="4"/>
  <c r="V301" i="4" s="1" a="1"/>
  <c r="V301" i="4" s="1"/>
  <c r="U365" i="4"/>
  <c r="V365" i="4" s="1" a="1"/>
  <c r="V365" i="4" s="1"/>
  <c r="U79" i="4"/>
  <c r="V79" i="4" s="1" a="1"/>
  <c r="V79" i="4" s="1"/>
  <c r="U70" i="4"/>
  <c r="V70" i="4" s="1" a="1"/>
  <c r="V70" i="4" s="1"/>
  <c r="U142" i="4"/>
  <c r="V142" i="4" s="1" a="1"/>
  <c r="V142" i="4" s="1"/>
  <c r="U206" i="4"/>
  <c r="V206" i="4" s="1" a="1"/>
  <c r="V206" i="4" s="1"/>
  <c r="U270" i="4"/>
  <c r="V270" i="4" s="1" a="1"/>
  <c r="V270" i="4" s="1"/>
  <c r="U334" i="4"/>
  <c r="V334" i="4" s="1" a="1"/>
  <c r="V334" i="4" s="1"/>
  <c r="U398" i="4"/>
  <c r="V398" i="4" s="1" a="1"/>
  <c r="V398" i="4" s="1"/>
  <c r="U87" i="4"/>
  <c r="V87" i="4" s="1" a="1"/>
  <c r="V87" i="4" s="1"/>
  <c r="U151" i="4"/>
  <c r="V151" i="4" s="1" a="1"/>
  <c r="V151" i="4" s="1"/>
  <c r="U367" i="4"/>
  <c r="V367" i="4" s="1" a="1"/>
  <c r="V367" i="4" s="1"/>
  <c r="U57" i="4"/>
  <c r="V57" i="4" s="1" a="1"/>
  <c r="V57" i="4" s="1"/>
  <c r="U185" i="4"/>
  <c r="V185" i="4" s="1" a="1"/>
  <c r="V185" i="4" s="1"/>
  <c r="U249" i="4"/>
  <c r="V249" i="4" s="1" a="1"/>
  <c r="V249" i="4" s="1"/>
  <c r="U313" i="4"/>
  <c r="V313" i="4" s="1" a="1"/>
  <c r="V313" i="4" s="1"/>
  <c r="U377" i="4"/>
  <c r="V377" i="4" s="1" a="1"/>
  <c r="V377" i="4" s="1"/>
  <c r="U207" i="4"/>
  <c r="V207" i="4" s="1" a="1"/>
  <c r="V207" i="4" s="1"/>
  <c r="U72" i="4"/>
  <c r="V72" i="4" s="1" a="1"/>
  <c r="V72" i="4" s="1"/>
  <c r="U136" i="4"/>
  <c r="V136" i="4" s="1" a="1"/>
  <c r="V136" i="4" s="1"/>
  <c r="U200" i="4"/>
  <c r="V200" i="4" s="1" a="1"/>
  <c r="V200" i="4" s="1"/>
  <c r="U264" i="4"/>
  <c r="V264" i="4" s="1" a="1"/>
  <c r="V264" i="4" s="1"/>
  <c r="U328" i="4"/>
  <c r="V328" i="4" s="1" a="1"/>
  <c r="V328" i="4" s="1"/>
  <c r="U408" i="4"/>
  <c r="V408" i="4" s="1" a="1"/>
  <c r="V408" i="4" s="1"/>
  <c r="U90" i="4"/>
  <c r="V90" i="4" s="1" a="1"/>
  <c r="V90" i="4" s="1"/>
  <c r="U139" i="4"/>
  <c r="V139" i="4" s="1" a="1"/>
  <c r="V139" i="4" s="1"/>
  <c r="U339" i="4"/>
  <c r="V339" i="4" s="1" a="1"/>
  <c r="V339" i="4" s="1"/>
  <c r="U234" i="4"/>
  <c r="V234" i="4" s="1" a="1"/>
  <c r="V234" i="4" s="1"/>
  <c r="U91" i="4"/>
  <c r="V91" i="4" s="1" a="1"/>
  <c r="V91" i="4" s="1"/>
  <c r="U411" i="4"/>
  <c r="V411" i="4" s="1" a="1"/>
  <c r="V411" i="4" s="1"/>
  <c r="U316" i="4"/>
  <c r="V316" i="4" s="1" a="1"/>
  <c r="V316" i="4" s="1"/>
  <c r="U114" i="4"/>
  <c r="V114" i="4" s="1" a="1"/>
  <c r="V114" i="4" s="1"/>
  <c r="U178" i="4"/>
  <c r="V178" i="4" s="1" a="1"/>
  <c r="V178" i="4" s="1"/>
  <c r="U242" i="4"/>
  <c r="V242" i="4" s="1" a="1"/>
  <c r="V242" i="4" s="1"/>
  <c r="U306" i="4"/>
  <c r="V306" i="4" s="1" a="1"/>
  <c r="V306" i="4" s="1"/>
  <c r="U370" i="4"/>
  <c r="V370" i="4" s="1" a="1"/>
  <c r="V370" i="4" s="1"/>
  <c r="U223" i="4"/>
  <c r="V223" i="4" s="1" a="1"/>
  <c r="V223" i="4" s="1"/>
  <c r="U35" i="4"/>
  <c r="V35" i="4" s="1" a="1"/>
  <c r="V35" i="4" s="1"/>
  <c r="U99" i="4"/>
  <c r="V99" i="4" s="1" a="1"/>
  <c r="V99" i="4" s="1"/>
  <c r="U163" i="4"/>
  <c r="V163" i="4" s="1" a="1"/>
  <c r="V163" i="4" s="1"/>
  <c r="U227" i="4"/>
  <c r="V227" i="4" s="1" a="1"/>
  <c r="V227" i="4" s="1"/>
  <c r="U291" i="4"/>
  <c r="V291" i="4" s="1" a="1"/>
  <c r="V291" i="4" s="1"/>
  <c r="U355" i="4"/>
  <c r="V355" i="4" s="1" a="1"/>
  <c r="V355" i="4" s="1"/>
  <c r="U419" i="4"/>
  <c r="V419" i="4" s="1" a="1"/>
  <c r="V419" i="4" s="1"/>
  <c r="U383" i="4"/>
  <c r="V383" i="4" s="1" a="1"/>
  <c r="V383" i="4" s="1"/>
  <c r="U68" i="4"/>
  <c r="V68" i="4" s="1" a="1"/>
  <c r="V68" i="4" s="1"/>
  <c r="U132" i="4"/>
  <c r="V132" i="4" s="1" a="1"/>
  <c r="V132" i="4" s="1"/>
  <c r="U196" i="4"/>
  <c r="V196" i="4" s="1" a="1"/>
  <c r="V196" i="4" s="1"/>
  <c r="U260" i="4"/>
  <c r="V260" i="4" s="1" a="1"/>
  <c r="V260" i="4" s="1"/>
  <c r="U324" i="4"/>
  <c r="V324" i="4" s="1" a="1"/>
  <c r="V324" i="4" s="1"/>
  <c r="U388" i="4"/>
  <c r="V388" i="4" s="1" a="1"/>
  <c r="V388" i="4" s="1"/>
  <c r="U335" i="4"/>
  <c r="V335" i="4" s="1" a="1"/>
  <c r="V335" i="4" s="1"/>
  <c r="U53" i="4"/>
  <c r="V53" i="4" s="1" a="1"/>
  <c r="V53" i="4" s="1"/>
  <c r="U117" i="4"/>
  <c r="V117" i="4" s="1" a="1"/>
  <c r="V117" i="4" s="1"/>
  <c r="U181" i="4"/>
  <c r="V181" i="4" s="1" a="1"/>
  <c r="V181" i="4" s="1"/>
  <c r="U245" i="4"/>
  <c r="V245" i="4" s="1" a="1"/>
  <c r="V245" i="4" s="1"/>
  <c r="U309" i="4"/>
  <c r="V309" i="4" s="1" a="1"/>
  <c r="V309" i="4" s="1"/>
  <c r="U373" i="4"/>
  <c r="V373" i="4" s="1" a="1"/>
  <c r="V373" i="4" s="1"/>
  <c r="U14" i="4"/>
  <c r="V14" i="4" s="1" a="1"/>
  <c r="V14" i="4" s="1"/>
  <c r="U78" i="4"/>
  <c r="V78" i="4" s="1" a="1"/>
  <c r="V78" i="4" s="1"/>
  <c r="U150" i="4"/>
  <c r="V150" i="4" s="1" a="1"/>
  <c r="V150" i="4" s="1"/>
  <c r="U214" i="4"/>
  <c r="V214" i="4" s="1" a="1"/>
  <c r="V214" i="4" s="1"/>
  <c r="U278" i="4"/>
  <c r="V278" i="4" s="1" a="1"/>
  <c r="V278" i="4" s="1"/>
  <c r="U342" i="4"/>
  <c r="V342" i="4" s="1" a="1"/>
  <c r="V342" i="4" s="1"/>
  <c r="U406" i="4"/>
  <c r="V406" i="4" s="1" a="1"/>
  <c r="V406" i="4" s="1"/>
  <c r="U95" i="4"/>
  <c r="V95" i="4" s="1" a="1"/>
  <c r="V95" i="4" s="1"/>
  <c r="U159" i="4"/>
  <c r="V159" i="4" s="1" a="1"/>
  <c r="V159" i="4" s="1"/>
  <c r="U407" i="4"/>
  <c r="V407" i="4" s="1" a="1"/>
  <c r="V407" i="4" s="1"/>
  <c r="U65" i="4"/>
  <c r="V65" i="4" s="1" a="1"/>
  <c r="V65" i="4" s="1"/>
  <c r="U129" i="4"/>
  <c r="V129" i="4" s="1" a="1"/>
  <c r="V129" i="4" s="1"/>
  <c r="U193" i="4"/>
  <c r="V193" i="4" s="1" a="1"/>
  <c r="V193" i="4" s="1"/>
  <c r="U257" i="4"/>
  <c r="V257" i="4" s="1" a="1"/>
  <c r="V257" i="4" s="1"/>
  <c r="U321" i="4"/>
  <c r="V321" i="4" s="1" a="1"/>
  <c r="V321" i="4" s="1"/>
  <c r="U385" i="4"/>
  <c r="V385" i="4" s="1" a="1"/>
  <c r="V385" i="4" s="1"/>
  <c r="U239" i="4"/>
  <c r="V239" i="4" s="1" a="1"/>
  <c r="V239" i="4" s="1"/>
  <c r="U344" i="4"/>
  <c r="V344" i="4" s="1" a="1"/>
  <c r="V344" i="4" s="1"/>
  <c r="U80" i="4"/>
  <c r="V80" i="4" s="1" a="1"/>
  <c r="V80" i="4" s="1"/>
  <c r="U144" i="4"/>
  <c r="V144" i="4" s="1" a="1"/>
  <c r="V144" i="4" s="1"/>
  <c r="U208" i="4"/>
  <c r="V208" i="4" s="1" a="1"/>
  <c r="V208" i="4" s="1"/>
  <c r="U272" i="4"/>
  <c r="V272" i="4" s="1" a="1"/>
  <c r="V272" i="4" s="1"/>
  <c r="U336" i="4"/>
  <c r="V336" i="4" s="1" a="1"/>
  <c r="V336" i="4" s="1"/>
  <c r="U416" i="4"/>
  <c r="V416" i="4" s="1" a="1"/>
  <c r="V416" i="4" s="1"/>
  <c r="U26" i="4"/>
  <c r="V26" i="4" s="1" a="1"/>
  <c r="V26" i="4" s="1"/>
  <c r="U75" i="4"/>
  <c r="V75" i="4" s="1" a="1"/>
  <c r="V75" i="4" s="1"/>
  <c r="U354" i="4"/>
  <c r="V354" i="4" s="1" a="1"/>
  <c r="V354" i="4" s="1"/>
  <c r="U275" i="4"/>
  <c r="V275" i="4" s="1" a="1"/>
  <c r="V275" i="4" s="1"/>
  <c r="U170" i="4"/>
  <c r="V170" i="4" s="1" a="1"/>
  <c r="V170" i="4" s="1"/>
  <c r="U27" i="4"/>
  <c r="V27" i="4" s="1" a="1"/>
  <c r="V27" i="4" s="1"/>
  <c r="U347" i="4"/>
  <c r="V347" i="4" s="1" a="1"/>
  <c r="V347" i="4" s="1"/>
  <c r="U188" i="4"/>
  <c r="V188" i="4" s="1" a="1"/>
  <c r="V188" i="4" s="1"/>
  <c r="U295" i="4"/>
  <c r="V295" i="4" s="1" a="1"/>
  <c r="V295" i="4" s="1"/>
  <c r="U58" i="4"/>
  <c r="V58" i="4" s="1" a="1"/>
  <c r="V58" i="4" s="1"/>
  <c r="U122" i="4"/>
  <c r="V122" i="4" s="1" a="1"/>
  <c r="V122" i="4" s="1"/>
  <c r="U186" i="4"/>
  <c r="V186" i="4" s="1" a="1"/>
  <c r="V186" i="4" s="1"/>
  <c r="U250" i="4"/>
  <c r="V250" i="4" s="1" a="1"/>
  <c r="V250" i="4" s="1"/>
  <c r="U314" i="4"/>
  <c r="V314" i="4" s="1" a="1"/>
  <c r="V314" i="4" s="1"/>
  <c r="U378" i="4"/>
  <c r="V378" i="4" s="1" a="1"/>
  <c r="V378" i="4" s="1"/>
  <c r="U271" i="4"/>
  <c r="V271" i="4" s="1" a="1"/>
  <c r="V271" i="4" s="1"/>
  <c r="U43" i="4"/>
  <c r="V43" i="4" s="1" a="1"/>
  <c r="V43" i="4" s="1"/>
  <c r="U107" i="4"/>
  <c r="V107" i="4" s="1" a="1"/>
  <c r="V107" i="4" s="1"/>
  <c r="U171" i="4"/>
  <c r="V171" i="4" s="1" a="1"/>
  <c r="V171" i="4" s="1"/>
  <c r="U235" i="4"/>
  <c r="V235" i="4" s="1" a="1"/>
  <c r="V235" i="4" s="1"/>
  <c r="U299" i="4"/>
  <c r="V299" i="4" s="1" a="1"/>
  <c r="V299" i="4" s="1"/>
  <c r="U363" i="4"/>
  <c r="V363" i="4" s="1" a="1"/>
  <c r="V363" i="4" s="1"/>
  <c r="U31" i="4"/>
  <c r="V31" i="4" s="1" a="1"/>
  <c r="V31" i="4" s="1"/>
  <c r="U12" i="4"/>
  <c r="V12" i="4" s="1" a="1"/>
  <c r="V12" i="4" s="1"/>
  <c r="U76" i="4"/>
  <c r="V76" i="4" s="1" a="1"/>
  <c r="V76" i="4" s="1"/>
  <c r="U140" i="4"/>
  <c r="V140" i="4" s="1" a="1"/>
  <c r="V140" i="4" s="1"/>
  <c r="U204" i="4"/>
  <c r="V204" i="4" s="1" a="1"/>
  <c r="V204" i="4" s="1"/>
  <c r="U268" i="4"/>
  <c r="V268" i="4" s="1" a="1"/>
  <c r="V268" i="4" s="1"/>
  <c r="U332" i="4"/>
  <c r="V332" i="4" s="1" a="1"/>
  <c r="V332" i="4" s="1"/>
  <c r="U396" i="4"/>
  <c r="V396" i="4" s="1" a="1"/>
  <c r="V396" i="4" s="1"/>
  <c r="U375" i="4"/>
  <c r="V375" i="4" s="1" a="1"/>
  <c r="V375" i="4" s="1"/>
  <c r="U61" i="4"/>
  <c r="V61" i="4" s="1" a="1"/>
  <c r="V61" i="4" s="1"/>
  <c r="U125" i="4"/>
  <c r="V125" i="4" s="1" a="1"/>
  <c r="V125" i="4" s="1"/>
  <c r="U189" i="4"/>
  <c r="V189" i="4" s="1" a="1"/>
  <c r="V189" i="4" s="1"/>
  <c r="U253" i="4"/>
  <c r="V253" i="4" s="1" a="1"/>
  <c r="V253" i="4" s="1"/>
  <c r="U317" i="4"/>
  <c r="V317" i="4" s="1" a="1"/>
  <c r="V317" i="4" s="1"/>
  <c r="U381" i="4"/>
  <c r="V381" i="4" s="1" a="1"/>
  <c r="V381" i="4" s="1"/>
  <c r="U22" i="4"/>
  <c r="V22" i="4" s="1" a="1"/>
  <c r="V22" i="4" s="1"/>
  <c r="U94" i="4"/>
  <c r="V94" i="4" s="1" a="1"/>
  <c r="V94" i="4" s="1"/>
  <c r="U158" i="4"/>
  <c r="V158" i="4" s="1" a="1"/>
  <c r="V158" i="4" s="1"/>
  <c r="U222" i="4"/>
  <c r="V222" i="4" s="1" a="1"/>
  <c r="V222" i="4" s="1"/>
  <c r="U286" i="4"/>
  <c r="V286" i="4" s="1" a="1"/>
  <c r="V286" i="4" s="1"/>
  <c r="U350" i="4"/>
  <c r="V350" i="4" s="1" a="1"/>
  <c r="V350" i="4" s="1"/>
  <c r="U414" i="4"/>
  <c r="V414" i="4" s="1" a="1"/>
  <c r="V414" i="4" s="1"/>
  <c r="U103" i="4"/>
  <c r="V103" i="4" s="1" a="1"/>
  <c r="V103" i="4" s="1"/>
  <c r="U167" i="4"/>
  <c r="V167" i="4" s="1" a="1"/>
  <c r="V167" i="4" s="1"/>
  <c r="U9" i="4"/>
  <c r="V9" i="4" s="1" a="1"/>
  <c r="V9" i="4" s="1"/>
  <c r="U73" i="4"/>
  <c r="V73" i="4" s="1" a="1"/>
  <c r="V73" i="4" s="1"/>
  <c r="U137" i="4"/>
  <c r="V137" i="4" s="1" a="1"/>
  <c r="V137" i="4" s="1"/>
  <c r="U201" i="4"/>
  <c r="V201" i="4" s="1" a="1"/>
  <c r="V201" i="4" s="1"/>
  <c r="U265" i="4"/>
  <c r="V265" i="4" s="1" a="1"/>
  <c r="V265" i="4" s="1"/>
  <c r="U329" i="4"/>
  <c r="V329" i="4" s="1" a="1"/>
  <c r="V329" i="4" s="1"/>
  <c r="U393" i="4"/>
  <c r="V393" i="4" s="1" a="1"/>
  <c r="V393" i="4" s="1"/>
  <c r="U279" i="4"/>
  <c r="V279" i="4" s="1" a="1"/>
  <c r="V279" i="4" s="1"/>
  <c r="U24" i="4"/>
  <c r="V24" i="4" s="1" a="1"/>
  <c r="V24" i="4" s="1"/>
  <c r="U88" i="4"/>
  <c r="V88" i="4" s="1" a="1"/>
  <c r="V88" i="4" s="1"/>
  <c r="U152" i="4"/>
  <c r="V152" i="4" s="1" a="1"/>
  <c r="V152" i="4" s="1"/>
  <c r="U216" i="4"/>
  <c r="V216" i="4" s="1" a="1"/>
  <c r="V216" i="4" s="1"/>
  <c r="U280" i="4"/>
  <c r="V280" i="4" s="1" a="1"/>
  <c r="V280" i="4" s="1"/>
  <c r="U360" i="4"/>
  <c r="V360" i="4" s="1" a="1"/>
  <c r="V360" i="4" s="1"/>
  <c r="F3" i="4"/>
  <c r="U46" i="4" l="1"/>
  <c r="V46" i="4" s="1" a="1"/>
  <c r="V46" i="4" s="1"/>
  <c r="U50" i="4"/>
  <c r="V50" i="4" s="1" a="1"/>
  <c r="V50" i="4" s="1"/>
  <c r="U49" i="4"/>
  <c r="V49" i="4" s="1" a="1"/>
  <c r="V49" i="4" s="1"/>
  <c r="U341" i="4"/>
  <c r="V341" i="4" s="1" a="1"/>
  <c r="V341" i="4" s="1"/>
  <c r="U85" i="4"/>
  <c r="V85" i="4" s="1" a="1"/>
  <c r="V85" i="4" s="1"/>
  <c r="U121" i="4"/>
  <c r="V121" i="4" s="1" a="1"/>
  <c r="V121" i="4" s="1"/>
  <c r="U45" i="4"/>
  <c r="U417" i="4"/>
  <c r="V417" i="4" s="1" a="1"/>
  <c r="V417" i="4" s="1"/>
  <c r="U86" i="4"/>
  <c r="V86" i="4" s="1" a="1"/>
  <c r="V86" i="4" s="1"/>
  <c r="F4" i="4" l="1"/>
  <c r="V45" i="4" a="1"/>
  <c r="V45" i="4" s="1"/>
  <c r="V1" i="4" l="1"/>
  <c r="V1" i="5"/>
  <c r="V2" i="4" a="1"/>
  <c r="V2"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64575C-86A6-43AE-89E7-FACFC411FD2D}" keepAlive="1" name="Query - SendTGbot" description="Connection to the 'SendTGbot' query in the workbook." type="5" refreshedVersion="8" saveData="1">
    <dbPr connection="Provider=Microsoft.Mashup.OleDb.1;Data Source=$Workbook$;Location=SendTGbot;Extended Properties=&quot;&quot;" command="SELECT * FROM [SendTGbot]"/>
    <extLst>
      <ext xmlns:x15="http://schemas.microsoft.com/office/spreadsheetml/2010/11/main" uri="{DE250136-89BD-433C-8126-D09CA5730AF9}">
        <x15:connection id="" excludeFromRefreshAll="1"/>
      </ext>
    </extLst>
  </connection>
  <connection id="2" xr16:uid="{8357ECDD-283F-430B-AAB1-78FAEFCF731B}" keepAlive="1" name="Query - Warehouses" description="Connection to the 'Warehouses' query in the workbook." type="5" refreshedVersion="8" background="1" refreshOnLoad="1" saveData="1">
    <dbPr connection="Provider=Microsoft.Mashup.OleDb.1;Data Source=$Workbook$;Location=Warehouses;Extended Properties=&quot;&quot;" command="SELECT * FROM [Warehouses]"/>
  </connection>
  <connection id="3" xr16:uid="{90A3A60F-8F7B-43A1-820E-E041F7D05193}" keepAlive="1" name="Query - WB coefficients" description="Connection to the 'WB coefficients' query in the workbook." type="5" refreshedVersion="8" background="1" saveData="1">
    <dbPr connection="Provider=Microsoft.Mashup.OleDb.1;Data Source=$Workbook$;Location=&quot;WB coefficients&quot;;Extended Properties=&quot;&quot;" command="SELECT * FROM [WB coefficien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<sst xmlns="http://schemas.openxmlformats.org/spreadsheetml/2006/main" count="1769" uniqueCount="190">
  <si>
    <t>Склад</t>
  </si>
  <si>
    <t>Тип</t>
  </si>
  <si>
    <t>Комментарий</t>
  </si>
  <si>
    <t>Join</t>
  </si>
  <si>
    <t>Check</t>
  </si>
  <si>
    <t>Подольск</t>
  </si>
  <si>
    <t>Суперсейф</t>
  </si>
  <si>
    <t>WB API</t>
  </si>
  <si>
    <t>Алматы Атакент</t>
  </si>
  <si>
    <t>Астана</t>
  </si>
  <si>
    <t>Астана 2</t>
  </si>
  <si>
    <t>Белые Столбы</t>
  </si>
  <si>
    <t>Внуково СГТ</t>
  </si>
  <si>
    <t>Волгоград</t>
  </si>
  <si>
    <t>Голицыно СГТ</t>
  </si>
  <si>
    <t>Екатеринбург - Испытателей 14г</t>
  </si>
  <si>
    <t>Екатеринбург - Перспективный 12/2</t>
  </si>
  <si>
    <t>Казань</t>
  </si>
  <si>
    <t>Коледино</t>
  </si>
  <si>
    <t>Котовск</t>
  </si>
  <si>
    <t>Краснодар (Тихорецкая)</t>
  </si>
  <si>
    <t>Невинномысск</t>
  </si>
  <si>
    <t>Новосемейкино</t>
  </si>
  <si>
    <t>Новосибирск</t>
  </si>
  <si>
    <t>Обухово</t>
  </si>
  <si>
    <t>Обухово СГТ</t>
  </si>
  <si>
    <t>Подольск 3</t>
  </si>
  <si>
    <t>Подольск 4</t>
  </si>
  <si>
    <t>Радумля СГТ</t>
  </si>
  <si>
    <t>Рязань (Тюшевское)</t>
  </si>
  <si>
    <t>Санкт-Петербург (Уткина Заводь)</t>
  </si>
  <si>
    <t>СЦ Абакан</t>
  </si>
  <si>
    <t>СЦ Абакан 2</t>
  </si>
  <si>
    <t>СЦ Актобе</t>
  </si>
  <si>
    <t>СЦ Артем</t>
  </si>
  <si>
    <t>СЦ Архангельск (ул Ленина)</t>
  </si>
  <si>
    <t>СЦ Астрахань</t>
  </si>
  <si>
    <t>СЦ Астрахань (Солянка)</t>
  </si>
  <si>
    <t>СЦ Байсерке</t>
  </si>
  <si>
    <t>СЦ Барнаул</t>
  </si>
  <si>
    <t>СЦ Белая Дача</t>
  </si>
  <si>
    <t>СЦ Белогорск</t>
  </si>
  <si>
    <t>СЦ Бишкек</t>
  </si>
  <si>
    <t>СЦ Брест</t>
  </si>
  <si>
    <t>Сц Брянск 2</t>
  </si>
  <si>
    <t>СЦ Вёшки</t>
  </si>
  <si>
    <t>СЦ Видное</t>
  </si>
  <si>
    <t>СЦ Владикавказ</t>
  </si>
  <si>
    <t>СЦ Владимир</t>
  </si>
  <si>
    <t>СЦ Внуково</t>
  </si>
  <si>
    <t>СЦ Вологда</t>
  </si>
  <si>
    <t>СЦ Вологда 2</t>
  </si>
  <si>
    <t>СЦ Воронеж</t>
  </si>
  <si>
    <t>СЦ Иваново</t>
  </si>
  <si>
    <t>СЦ Ижевск</t>
  </si>
  <si>
    <t>СЦ Иркутск</t>
  </si>
  <si>
    <t>СЦ Калуга</t>
  </si>
  <si>
    <t>СЦ Кемерово</t>
  </si>
  <si>
    <t>СЦ Киров</t>
  </si>
  <si>
    <t>СЦ Крыловская</t>
  </si>
  <si>
    <t>СЦ Кузнецк</t>
  </si>
  <si>
    <t>СЦ Курск</t>
  </si>
  <si>
    <t>СЦ Липецк</t>
  </si>
  <si>
    <t>СЦ Махачкала</t>
  </si>
  <si>
    <t>СЦ Мурманск</t>
  </si>
  <si>
    <t>СЦ Набережные Челны</t>
  </si>
  <si>
    <t>СЦ Нижний Новгород</t>
  </si>
  <si>
    <t>СЦ Нижний Тагил</t>
  </si>
  <si>
    <t>СЦ Новокузнецк</t>
  </si>
  <si>
    <t>СЦ Новосибирск Пасечная</t>
  </si>
  <si>
    <t>СЦ Ноябрьск</t>
  </si>
  <si>
    <t>СЦ Обухово 2</t>
  </si>
  <si>
    <t>СЦ Омск</t>
  </si>
  <si>
    <t>СЦ Оренбург Центральная</t>
  </si>
  <si>
    <t>СЦ Ош</t>
  </si>
  <si>
    <t>СЦ Пермь 2</t>
  </si>
  <si>
    <t>СЦ Псков</t>
  </si>
  <si>
    <t>СЦ Пушкино</t>
  </si>
  <si>
    <t>СЦ Пятигорск</t>
  </si>
  <si>
    <t>СЦ Пятигорск (Этока)</t>
  </si>
  <si>
    <t>СЦ Ростов-на-Дону</t>
  </si>
  <si>
    <t>СЦ Самара</t>
  </si>
  <si>
    <t>СЦ Семей</t>
  </si>
  <si>
    <t>СЦ Серов</t>
  </si>
  <si>
    <t>СЦ Симферополь</t>
  </si>
  <si>
    <t>СЦ Смоленск 3</t>
  </si>
  <si>
    <t>СЦ Сургут</t>
  </si>
  <si>
    <t>СЦ Сыктывкар</t>
  </si>
  <si>
    <t>СЦ Тамбов</t>
  </si>
  <si>
    <t>СЦ Тверь</t>
  </si>
  <si>
    <t>СЦ Томск</t>
  </si>
  <si>
    <t>СЦ Тюмень</t>
  </si>
  <si>
    <t>СЦ Ульяновск</t>
  </si>
  <si>
    <t>СЦ Уральск</t>
  </si>
  <si>
    <t>СЦ Уфа</t>
  </si>
  <si>
    <t>СЦ Хабаровск</t>
  </si>
  <si>
    <t>СЦ Чебоксары 2</t>
  </si>
  <si>
    <t>СЦ Челябинск 2</t>
  </si>
  <si>
    <t>СЦ Череповец</t>
  </si>
  <si>
    <t>СЦ Чита 2</t>
  </si>
  <si>
    <t>СЦ Шушары</t>
  </si>
  <si>
    <t>СЦ Шымкент</t>
  </si>
  <si>
    <t>СЦ Ярославль</t>
  </si>
  <si>
    <t>Тула</t>
  </si>
  <si>
    <t>Чашниково</t>
  </si>
  <si>
    <t>Чехов 1, Новоселки вл 11 стр 2</t>
  </si>
  <si>
    <t>Чехов 2, Новоселки вл 11 стр 7</t>
  </si>
  <si>
    <t>Шушары СГТ</t>
  </si>
  <si>
    <t>Электросталь</t>
  </si>
  <si>
    <t>Короба</t>
  </si>
  <si>
    <t>Монопаллеты</t>
  </si>
  <si>
    <t>QR-поставка</t>
  </si>
  <si>
    <t>Тип поставки</t>
  </si>
  <si>
    <t>Дата</t>
  </si>
  <si>
    <t>ПОИСК СЛОТОВ ДЛЯ ПОСТАВОК</t>
  </si>
  <si>
    <t>бесплатных слотов</t>
  </si>
  <si>
    <t>Искать слоты раз в</t>
  </si>
  <si>
    <t>Задача</t>
  </si>
  <si>
    <t>Доступность</t>
  </si>
  <si>
    <t>Кол-во слотов</t>
  </si>
  <si>
    <t>Текст</t>
  </si>
  <si>
    <t>TG Chat ID</t>
  </si>
  <si>
    <t>Телеграм</t>
  </si>
  <si>
    <t>Информирование</t>
  </si>
  <si>
    <t>Окно + Телеграм</t>
  </si>
  <si>
    <t>Окно</t>
  </si>
  <si>
    <t>Не уведомлять</t>
  </si>
  <si>
    <t>Кол-во складов/типов где ищем слоты</t>
  </si>
  <si>
    <t>Кол-во складов с нужными слотами</t>
  </si>
  <si>
    <t>Уведомления</t>
  </si>
  <si>
    <t>ПАРАМЕТРЫ ДЛЯ ТАБЛИЦ</t>
  </si>
  <si>
    <t>Bot name</t>
  </si>
  <si>
    <t>MPBOSS_4U_bot</t>
  </si>
  <si>
    <t>Приемлемый коэффициент</t>
  </si>
  <si>
    <t>С какой даты искать</t>
  </si>
  <si>
    <t>Сегодня</t>
  </si>
  <si>
    <t>Завтра</t>
  </si>
  <si>
    <t>Послезавтра</t>
  </si>
  <si>
    <t>4 +</t>
  </si>
  <si>
    <t>С какого дня искать</t>
  </si>
  <si>
    <t>Коэффициенты</t>
  </si>
  <si>
    <t>Выбор нужных складов/типов поставки</t>
  </si>
  <si>
    <t>Установка дня начала диапазона поиска</t>
  </si>
  <si>
    <t>Возможность регулировать каналы уведомлений</t>
  </si>
  <si>
    <r>
      <t xml:space="preserve">Подписаться на Telegram бота - </t>
    </r>
    <r>
      <rPr>
        <b/>
        <sz val="11"/>
        <color theme="1"/>
        <rFont val="Aptos Narrow"/>
        <family val="2"/>
        <scheme val="minor"/>
      </rPr>
      <t>@MPBOSS_4U_bot</t>
    </r>
  </si>
  <si>
    <t>Автоматическое обновление с регулировкой частоты  (от 1 минуты до 59)</t>
  </si>
  <si>
    <t>Получение данных от ВБ о коэффициентах приёмки по официальному API</t>
  </si>
  <si>
    <t>Регулирование приемлемого коэффициента</t>
  </si>
  <si>
    <t>Моментальные уведомления о найденых слотах в виде всплывающего окна</t>
  </si>
  <si>
    <t>Моментаьные уведомления о найденых слотах в виде сообщения в Телеграм Бот</t>
  </si>
  <si>
    <r>
      <t>Указать ваш</t>
    </r>
    <r>
      <rPr>
        <b/>
        <sz val="11"/>
        <color theme="1"/>
        <rFont val="Aptos Narrow"/>
        <family val="2"/>
        <scheme val="minor"/>
      </rPr>
      <t xml:space="preserve"> API ключ ВБ</t>
    </r>
    <r>
      <rPr>
        <sz val="11"/>
        <color theme="1"/>
        <rFont val="Aptos Narrow"/>
        <family val="2"/>
        <charset val="204"/>
        <scheme val="minor"/>
      </rPr>
      <t xml:space="preserve"> с доступом к разделу Поставки в закладке API (данные передаются напрямую в ВБ)</t>
    </r>
  </si>
  <si>
    <t>Файл помогает найти свободные слоты на складах Вайлдберриз регулярно запрашивая данные и отправляя уведомления.</t>
  </si>
  <si>
    <t>Разрешить файлу использовать макросы</t>
  </si>
  <si>
    <t>ФУНКЦИОНАЛ</t>
  </si>
  <si>
    <t>ИНСТРУМЕНТЫ ПОИСКА</t>
  </si>
  <si>
    <t>ДЛЯ РАБОТЫ ПОТРЕБУЕТСЯ</t>
  </si>
  <si>
    <t>КОММЕНТАРИИ</t>
  </si>
  <si>
    <t>ПОИСК СЛОТОВ ДЛЯ ПОСТАВОК \ СПРАВКА</t>
  </si>
  <si>
    <t>ПОИСК СЛОТОВ ДЛЯ ПОСТАВОК \ ДАНЫЕ ПОЛЬЗОВАТЕЛЯ</t>
  </si>
  <si>
    <t>ПОИСК СЛОТОВ ДЛЯ ПОСТАВОК \ ВЫБОР СКЛАДОВ И ФОРМАТОВ</t>
  </si>
  <si>
    <t>СЦ Сабурово</t>
  </si>
  <si>
    <t>СЦ Гродно</t>
  </si>
  <si>
    <r>
      <t xml:space="preserve">Указать </t>
    </r>
    <r>
      <rPr>
        <b/>
        <sz val="11"/>
        <color theme="1"/>
        <rFont val="Aptos Narrow"/>
        <family val="2"/>
        <scheme val="minor"/>
      </rPr>
      <t>Telegram Chat ID</t>
    </r>
    <r>
      <rPr>
        <sz val="11"/>
        <color theme="1"/>
        <rFont val="Aptos Narrow"/>
        <family val="2"/>
        <charset val="204"/>
        <scheme val="minor"/>
      </rPr>
      <t xml:space="preserve"> в закладке API  (Это ваш ID в Телеграм. Его можно узнать написав в боте команду "id")</t>
    </r>
  </si>
  <si>
    <t>Во время первого подключения к API Wildberries потребуется указать Экселю пропустить проверку уровня конфиденциальности (см. ниже)</t>
  </si>
  <si>
    <t>ЗАПУСК ПОИСКА</t>
  </si>
  <si>
    <r>
      <t xml:space="preserve">Выполниь задачи из раздела </t>
    </r>
    <r>
      <rPr>
        <b/>
        <sz val="11"/>
        <color theme="1"/>
        <rFont val="Aptos Narrow"/>
        <family val="2"/>
        <scheme val="minor"/>
      </rPr>
      <t>ДЛЯ РАБОТЫ ПОТРЕБУЕТСЯ</t>
    </r>
  </si>
  <si>
    <t>В закаладке "Where to look":</t>
  </si>
  <si>
    <r>
      <t xml:space="preserve">Укажите </t>
    </r>
    <r>
      <rPr>
        <b/>
        <sz val="11"/>
        <color theme="1"/>
        <rFont val="Aptos Narrow"/>
        <family val="2"/>
        <scheme val="minor"/>
      </rPr>
      <t>название склада и тип поставки</t>
    </r>
    <r>
      <rPr>
        <sz val="11"/>
        <color theme="1"/>
        <rFont val="Aptos Narrow"/>
        <family val="2"/>
        <charset val="204"/>
        <scheme val="minor"/>
      </rPr>
      <t xml:space="preserve"> (Название склада берите из таблички в закладке "WB coefficients"</t>
    </r>
  </si>
  <si>
    <t>В закаладке "WB Coefficients":</t>
  </si>
  <si>
    <r>
      <t xml:space="preserve">Укажите </t>
    </r>
    <r>
      <rPr>
        <b/>
        <sz val="11"/>
        <color theme="1"/>
        <rFont val="Aptos Narrow"/>
        <family val="2"/>
        <scheme val="minor"/>
      </rPr>
      <t>приемлемый коэффицент</t>
    </r>
    <r>
      <rPr>
        <sz val="11"/>
        <color theme="1"/>
        <rFont val="Aptos Narrow"/>
        <family val="2"/>
        <charset val="204"/>
        <scheme val="minor"/>
      </rPr>
      <t xml:space="preserve"> (0 - бесплатные слоты, 1 - коэффициент 1, итд)</t>
    </r>
  </si>
  <si>
    <r>
      <t xml:space="preserve">Выберете </t>
    </r>
    <r>
      <rPr>
        <b/>
        <sz val="11"/>
        <color theme="1"/>
        <rFont val="Aptos Narrow"/>
        <family val="2"/>
        <scheme val="minor"/>
      </rPr>
      <t>частоту автоматических обновлений</t>
    </r>
    <r>
      <rPr>
        <sz val="11"/>
        <color theme="1"/>
        <rFont val="Aptos Narrow"/>
        <family val="2"/>
        <charset val="204"/>
        <scheme val="minor"/>
      </rPr>
      <t xml:space="preserve"> данных о слотах, а галочка на чек боксе справа его запускает/останавливает</t>
    </r>
  </si>
  <si>
    <r>
      <t xml:space="preserve">Укажите необходимый </t>
    </r>
    <r>
      <rPr>
        <b/>
        <sz val="11"/>
        <color theme="1"/>
        <rFont val="Aptos Narrow"/>
        <family val="2"/>
        <scheme val="minor"/>
      </rPr>
      <t>диапазон поиска</t>
    </r>
    <r>
      <rPr>
        <sz val="11"/>
        <color theme="1"/>
        <rFont val="Aptos Narrow"/>
        <family val="2"/>
        <charset val="204"/>
        <scheme val="minor"/>
      </rPr>
      <t>: начиная с сегодняшнего, завтрашнего, послезавтрашнего или с 4-го дня. Соответственно уведомления будут посылаться только если найденные слоты находятся в нужном дипазоне.</t>
    </r>
  </si>
  <si>
    <r>
      <rPr>
        <b/>
        <sz val="11"/>
        <color theme="1"/>
        <rFont val="Aptos Narrow"/>
        <family val="2"/>
        <scheme val="minor"/>
      </rPr>
      <t>Фильтры</t>
    </r>
    <r>
      <rPr>
        <sz val="11"/>
        <color theme="1"/>
        <rFont val="Aptos Narrow"/>
        <family val="2"/>
        <charset val="204"/>
        <scheme val="minor"/>
      </rPr>
      <t xml:space="preserve"> "ИЩЕМ/НЕ ИЩЕМ" и "НИЧЕГО/ЕСТЬ СЛОТ!" позволяют контролировать отображение  таблицы. Если вы хотите видеть только склады, где вы ищете слоты, то выбирете "ИЩЕМ". Если  хотите посмотреть где в целом есть слоты, выбириет "ЕСТЬ СЛОТЫ!", но не забудьте вернуть отображение как "ИЩЕМ" так и "НЕ ИЩЕМ". Нажатием Ctrl + Нажатие левой кнокой мышки позволяет выделить оба объекта, чтобы отображалось оба варианта.</t>
    </r>
  </si>
  <si>
    <t>ПРОВЕРКА УРОВНЕЙ КОНФИДЕНЦИАЛЬНОСТИ</t>
  </si>
  <si>
    <t>Во время первого подключения к API Wildberries, в зависимости от ваших настроек Экселя, может потребоваться указать пропустить проверку уровня конфиденциальности, для этого нужно отметить галкой соответствующий чекбокс и нажать ок, когда появится соответствующее окно. Мы лишь берем данные о складах, никакой конфиденциальностью не рискуем.</t>
  </si>
  <si>
    <t>После присвоения новой даты, с нужным коэффициентом, спустя небольшое время не забудьте проверить, что коэффициент установлен верный. Иногда ВБ при создании поставки показывает один коэффициент, а после создания меняет на другой. Это их баг, на за ним нужно следить.</t>
  </si>
  <si>
    <t>В условиях дефицита слотов, рекомендуется предсоздать поставку на нужном складе  (или на нескольких складах) с нужным количеством товаров, на самую дальнюю дату с любым коэффициентом. В таком случае, как только вы получите уведомление о появлении слота, вам будет достаточно зайти в поставку и указать новую дату. Когда вы активно ищите слот, держите страницу с нужной поставкой в кабинете с ВБ открытой, чтобы как только прийдёт уведомление сможете тут-же указать новую дату. Помните, что более 100,000 поставщиков занимются поисхом слотов,  плюс боты. Скорость важна но всё возможно!</t>
  </si>
  <si>
    <t>О ботах. Официального инструмента по автоматическому созданию поставок нет. Использовать программные методы рискованно как с точки зрения вашей безопасности, так и с точки зрения вероятного получения штрафа в несколько десятков или сотен тысяч рублей. Оферта напрямую запрещает при взаимодействии с сайтом ВБ использовать методы автоматизации не предусмотренные самим ВБ.</t>
  </si>
  <si>
    <t>Данный инструмент использует только официальный API  Вайлдберриз для получения данных о слотах. Вся аналитика и уведомления делаются в Excel и Телеграм. Поставки создаёте вы вручную.</t>
  </si>
  <si>
    <t>Имейте ввиду, что у ВБ предусмотрены санкции при слишком сильных расхождениях в поставках фактического количества от запланированного. Создав поставку, вы можете без ущерба менять её не более чем на 10% в количественном выражении, иначе будет повышающий коэффициент приёмки. Также, если вы создали поставку на дальнюю дату, но за  всё время слотов так и не нашли, не забудьте её отменить или перенести в будущее не менее чем за одни полные сутки, чтобы не получить штраф. Например поставку на 30-е сентября отменяйте не позднее 28-го.</t>
  </si>
  <si>
    <t>Минск</t>
  </si>
  <si>
    <t>Column1.chat_id</t>
  </si>
  <si>
    <t>Column1.status</t>
  </si>
  <si>
    <t>59824746</t>
  </si>
  <si>
    <t>Sent</t>
  </si>
  <si>
    <t>Технические данные</t>
  </si>
  <si>
    <t>warehouseName</t>
  </si>
  <si>
    <t>boxTypeName</t>
  </si>
  <si>
    <t>Добавляйте и удаляйте строки. Выбирайте склад и тип поставки из выпадающиего списка.</t>
  </si>
  <si>
    <t>Последнее обновление: 17.10.2024 18:43:38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</si>
</sst>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d\ mmm;@"/>
  </numFmts>
  <fonts count="23" x14ac:knownFonts="1">
    <font>
      <sz val="11"/>
      <color theme="1"/>
      <name val="Aptos Narrow"/>
      <family val="2"/>
      <charset val="204"/>
      <scheme val="minor"/>
    </font>
    <font>
      <b/>
      <sz val="11"/>
      <color theme="1"/>
      <name val="Aptos Narrow"/>
      <family val="2"/>
      <charset val="204"/>
      <scheme val="minor"/>
    </font>
    <font>
      <sz val="11"/>
      <name val="Aptos Narrow"/>
      <family val="2"/>
      <charset val="204"/>
      <scheme val="minor"/>
    </font>
    <font>
      <sz val="11"/>
      <name val="Aptos Narrow"/>
      <family val="2"/>
      <scheme val="minor"/>
    </font>
    <font>
      <b/>
      <sz val="14"/>
      <color theme="1"/>
      <name val="Aptos Narrow"/>
      <family val="2"/>
      <charset val="204"/>
      <scheme val="minor"/>
    </font>
    <font>
      <b/>
      <sz val="11"/>
      <name val="Consolas"/>
      <family val="3"/>
      <charset val="204"/>
    </font>
    <font>
      <sz val="10"/>
      <name val="Consolas"/>
      <family val="3"/>
      <charset val="204"/>
    </font>
    <font>
      <b/>
      <sz val="11"/>
      <color theme="1"/>
      <name val="Aptos Narrow"/>
      <family val="2"/>
      <scheme val="minor"/>
    </font>
    <font>
      <sz val="10"/>
      <color theme="0" tint="-0.14999847407452621"/>
      <name val="Aptos Narrow"/>
      <family val="2"/>
      <charset val="204"/>
      <scheme val="minor"/>
    </font>
    <font>
      <b/>
      <sz val="10"/>
      <color theme="1"/>
      <name val="Aptos Narrow"/>
      <family val="2"/>
      <charset val="204"/>
      <scheme val="minor"/>
    </font>
    <font>
      <sz val="11"/>
      <name val="Calibri"/>
      <family val="2"/>
      <charset val="204"/>
    </font>
    <font>
      <sz val="11"/>
      <color theme="1"/>
      <name val="Calibri"/>
      <family val="2"/>
      <charset val="204"/>
    </font>
    <font>
      <sz val="11"/>
      <color theme="1"/>
      <name val="Aptos Narrow"/>
      <family val="2"/>
      <scheme val="minor"/>
    </font>
    <font>
      <b/>
      <sz val="14"/>
      <color theme="1"/>
      <name val="Aptos Narrow"/>
      <family val="2"/>
      <scheme val="minor"/>
    </font>
    <font>
      <sz val="11"/>
      <color theme="1" tint="0.249977111117893"/>
      <name val="Aptos Narrow"/>
      <family val="2"/>
      <scheme val="minor"/>
    </font>
    <font>
      <b/>
      <sz val="16"/>
      <color theme="1" tint="0.249977111117893"/>
      <name val="Aptos Narrow"/>
      <family val="2"/>
      <scheme val="minor"/>
    </font>
    <font>
      <sz val="11"/>
      <color theme="0"/>
      <name val="Aptos Narrow"/>
      <family val="2"/>
      <scheme val="minor"/>
    </font>
    <font>
      <b/>
      <i/>
      <sz val="11"/>
      <color theme="1"/>
      <name val="Aptos Narrow"/>
      <family val="2"/>
      <scheme val="minor"/>
    </font>
    <font>
      <sz val="14"/>
      <color theme="1"/>
      <name val="Aptos Narrow"/>
      <family val="2"/>
      <scheme val="minor"/>
    </font>
    <font>
      <sz val="11"/>
      <color rgb="FFFF0000"/>
      <name val="Aptos Narrow"/>
      <family val="2"/>
      <scheme val="minor"/>
    </font>
    <font>
      <sz val="11"/>
      <color theme="0" tint="-0.14999847407452621"/>
      <name val="Aptos Narrow"/>
      <family val="2"/>
      <scheme val="minor"/>
    </font>
    <font>
      <sz val="11"/>
      <color theme="0" tint="-0.34998626667073579"/>
      <name val="Aptos Narrow"/>
      <family val="2"/>
      <scheme val="minor"/>
    </font>
    <font>
      <i/>
      <sz val="11"/>
      <color theme="0" tint="-0.34998626667073579"/>
      <name val="Aptos Narrow"/>
      <family val="2"/>
      <scheme val="minor"/>
    </font>
  </fonts>
  <fills count="4">
    <fill>
      <patternFill patternType="none"/>
    </fill>
    <fill>
      <patternFill patternType="gray125"/>
    </fill>
    <fill>
      <patternFill patternType="solid">
        <fgColor theme="7" tint="0.39997558519241921"/>
        <bgColor indexed="64"/>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36">
    <xf numFmtId="0" fontId="0" fillId="0" borderId="0" xfId="0"/>
    <xf numFmtId="0" fontId="2" fillId="0" borderId="0" xfId="0" applyFont="1"/>
    <xf numFmtId="0" fontId="3" fillId="0" borderId="0" xfId="0" applyFont="1"/>
    <xf numFmtId="0" fontId="4" fillId="0" borderId="0" xfId="0" applyFont="1" applyAlignment="1">
      <alignment horizontal="left"/>
    </xf>
    <xf numFmtId="0" fontId="6" fillId="0" borderId="0" xfId="0" applyFont="1"/>
    <xf numFmtId="0" fontId="0" fillId="0" borderId="0" xfId="0" applyAlignment="1">
      <alignment horizontal="center"/>
    </xf>
    <xf numFmtId="0" fontId="7" fillId="0" borderId="0" xfId="0" applyFont="1"/>
    <xf numFmtId="0" fontId="8" fillId="0" borderId="0" xfId="0" applyFont="1" applyAlignment="1">
      <alignment horizontal="center"/>
    </xf>
    <xf numFmtId="0" fontId="9" fillId="2" borderId="1" xfId="0" applyFont="1" applyFill="1" applyBorder="1" applyAlignment="1">
      <alignment horizontal="center"/>
    </xf>
    <xf numFmtId="0" fontId="9" fillId="0" borderId="0" xfId="0" applyFont="1" applyAlignment="1">
      <alignment horizontal="center"/>
    </xf>
    <xf numFmtId="164" fontId="10" fillId="0" borderId="0" xfId="0" applyNumberFormat="1" applyFont="1"/>
    <xf numFmtId="0" fontId="11" fillId="0" borderId="0" xfId="0" pivotButton="1" applyFont="1"/>
    <xf numFmtId="0" fontId="11" fillId="0" borderId="0" xfId="0" applyFont="1"/>
    <xf numFmtId="164" fontId="11" fillId="0" borderId="0" xfId="0" applyNumberFormat="1" applyFont="1"/>
    <xf numFmtId="0" fontId="0" fillId="0" borderId="0" xfId="0" quotePrefix="1"/>
    <xf numFmtId="0" fontId="5" fillId="0" borderId="0" xfId="0" applyFont="1" applyAlignment="1">
      <alignment horizontal="center"/>
    </xf>
    <xf numFmtId="0" fontId="1" fillId="0" borderId="0" xfId="0" applyFont="1" applyAlignment="1">
      <alignment horizontal="center"/>
    </xf>
    <xf numFmtId="0" fontId="12" fillId="0" borderId="0" xfId="0" applyFont="1"/>
    <xf numFmtId="0" fontId="0" fillId="0" borderId="0" xfId="0" applyAlignment="1">
      <alignment wrapText="1"/>
    </xf>
    <xf numFmtId="0" fontId="13" fillId="0" borderId="0" xfId="0" applyFont="1"/>
    <xf numFmtId="0" fontId="15" fillId="3" borderId="2" xfId="0" applyFont="1" applyFill="1" applyBorder="1" applyAlignment="1">
      <alignment horizontal="left" vertical="center"/>
    </xf>
    <xf numFmtId="0" fontId="14" fillId="3" borderId="2" xfId="0" applyFont="1" applyFill="1" applyBorder="1" applyAlignment="1">
      <alignment horizontal="left" vertical="center"/>
    </xf>
    <xf numFmtId="0" fontId="16" fillId="3" borderId="2" xfId="0" applyFont="1" applyFill="1" applyBorder="1" applyAlignment="1">
      <alignment horizontal="center" vertical="center"/>
    </xf>
    <xf numFmtId="0" fontId="14" fillId="3" borderId="2" xfId="0" applyFont="1" applyFill="1" applyBorder="1" applyAlignment="1">
      <alignment horizontal="left" vertical="top"/>
    </xf>
    <xf numFmtId="0" fontId="0" fillId="0" borderId="0" xfId="0" applyAlignment="1">
      <alignment vertical="top"/>
    </xf>
    <xf numFmtId="0" fontId="17" fillId="0" borderId="0" xfId="0" applyFont="1" applyAlignment="1">
      <alignment wrapText="1"/>
    </xf>
    <xf numFmtId="0" fontId="12" fillId="0" borderId="0" xfId="0" applyFont="1" applyAlignment="1">
      <alignment wrapText="1"/>
    </xf>
    <xf numFmtId="0" fontId="18" fillId="0" borderId="0" xfId="0" applyFont="1"/>
    <xf numFmtId="0" fontId="19" fillId="3" borderId="2" xfId="0" applyFont="1" applyFill="1" applyBorder="1" applyAlignment="1">
      <alignment horizontal="right" vertical="center"/>
    </xf>
    <xf numFmtId="0" fontId="0" fillId="0" borderId="1" xfId="0" applyBorder="1"/>
    <xf numFmtId="0" fontId="0" fillId="0" borderId="1" xfId="0" applyBorder="1" applyAlignment="1">
      <alignment horizontal="left"/>
    </xf>
    <xf numFmtId="0" fontId="20" fillId="3" borderId="2" xfId="0" applyFont="1" applyFill="1" applyBorder="1" applyAlignment="1">
      <alignment horizontal="left" vertical="center"/>
    </xf>
    <xf numFmtId="0" fontId="21" fillId="3" borderId="2" xfId="0" applyFont="1" applyFill="1" applyBorder="1" applyAlignment="1">
      <alignment horizontal="left" vertical="center"/>
    </xf>
    <xf numFmtId="0" fontId="22" fillId="0" borderId="0" xfId="0" applyFont="1"/>
    <xf numFmtId="0" fontId="19" fillId="3" borderId="2" xfId="0" applyFont="1" applyFill="1" applyBorder="1" applyAlignment="1">
      <alignment horizontal="left" vertical="center"/>
    </xf>
    <xf numFmtId="0" fontId="11" fillId="0" borderId="0" xfId="0" applyNumberFormat="1" applyFont="1" applyAlignment="1">
      <alignment horizontal="center"/>
    </xf>
  </cellXfs>
  <cellStyles count="1">
    <cellStyle name="Normal" xfId="0" builtinId="0"/>
  </cellStyles>
  <dxfs count="31">
    <dxf>
      <numFmt numFmtId="0" formatCode="Genera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dxf>
    <dxf>
      <font>
        <color theme="0"/>
      </font>
      <fill>
        <patternFill>
          <bgColor rgb="FFFF0000"/>
        </patternFill>
      </fil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Consolas"/>
        <family val="3"/>
        <charset val="204"/>
        <scheme val="none"/>
      </font>
      <numFmt numFmtId="0" formatCode="General"/>
    </dxf>
    <dxf>
      <numFmt numFmtId="0" formatCode="General"/>
      <alignment horizontal="center" vertical="bottom" textRotation="0" wrapText="0" indent="0" justifyLastLine="0" shrinkToFit="0" readingOrder="0"/>
    </dxf>
    <dxf>
      <alignment horizontal="cent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color rgb="FF006100"/>
      </font>
      <fill>
        <patternFill>
          <bgColor rgb="FFC6EFCE"/>
        </patternFill>
      </fill>
    </dxf>
    <dxf>
      <font>
        <color theme="1"/>
      </font>
      <fill>
        <patternFill>
          <bgColor rgb="FF92D050"/>
        </patternFill>
      </fill>
    </dxf>
    <dxf>
      <font>
        <color theme="1" tint="4.9989318521683403E-2"/>
      </font>
      <fill>
        <patternFill>
          <fgColor auto="1"/>
          <bgColor theme="5" tint="0.39994506668294322"/>
        </patternFill>
      </fill>
    </dxf>
    <dxf>
      <font>
        <color theme="1" tint="4.9989318521683403E-2"/>
      </font>
      <fill>
        <patternFill>
          <fgColor auto="1"/>
          <bgColor rgb="FFFCF1C8"/>
        </patternFill>
      </fill>
    </dxf>
    <dxf>
      <font>
        <color rgb="FF92D050"/>
      </font>
      <fill>
        <patternFill>
          <bgColor rgb="FF92D050"/>
        </patternFill>
      </fill>
    </dxf>
    <dxf>
      <font>
        <color theme="0" tint="-0.499984740745262"/>
      </font>
      <fill>
        <patternFill>
          <bgColor theme="0" tint="-0.499984740745262"/>
        </patternFill>
      </fill>
    </dxf>
  </dxfs>
  <tableStyles count="1" defaultTableStyle="TableStyleMedium2" defaultPivotStyle="PivotStyleLight16">
    <tableStyle name="Invisible" pivot="0" table="0" count="0" xr9:uid="{1B948653-FA7F-4552-BB75-4894F359CE35}"/>
  </tableStyles>
  <colors>
    <mruColors>
      <color rgb="FF008000"/>
      <color rgb="FFFF9900"/>
      <color rgb="FFFFCC66"/>
      <color rgb="FFFCF1C8"/>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Drop" dropLines="4" dropStyle="combo" dx="39" fmlaLink="Notify" fmlaRange="Params!$C$4:$C$7" noThreeD="1" sel="1" val="0"/>
</file>

<file path=xl/ctrlProps/ctrlProp3.xml><?xml version="1.0" encoding="utf-8"?>
<formControlPr xmlns="http://schemas.microsoft.com/office/spreadsheetml/2009/9/main" objectType="Drop" dropLines="4" dropStyle="combo" dx="39" fmlaLink="Params!$F$2" fmlaRange="Params!$F$4:$F$7"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481013</xdr:colOff>
          <xdr:row>1</xdr:row>
          <xdr:rowOff>133350</xdr:rowOff>
        </xdr:from>
        <xdr:to>
          <xdr:col>4</xdr:col>
          <xdr:colOff>247650</xdr:colOff>
          <xdr:row>3</xdr:row>
          <xdr:rowOff>80963</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absoluteAnchor>
    <xdr:pos x="6348128" y="392120"/>
    <xdr:ext cx="1037168" cy="709612"/>
    <mc:AlternateContent xmlns:mc="http://schemas.openxmlformats.org/markup-compatibility/2006" xmlns:sle15="http://schemas.microsoft.com/office/drawing/2012/slicer">
      <mc:Choice Requires="sle15">
        <xdr:graphicFrame macro="">
          <xdr:nvGraphicFramePr>
            <xdr:cNvPr id="2" name="Задача">
              <a:extLst>
                <a:ext uri="{FF2B5EF4-FFF2-40B4-BE49-F238E27FC236}">
                  <a16:creationId xmlns:a16="http://schemas.microsoft.com/office/drawing/2014/main" id="{2E0825AE-BF14-653D-4BD2-3728EC114DE6}"/>
                </a:ext>
              </a:extLst>
            </xdr:cNvPr>
            <xdr:cNvGraphicFramePr/>
          </xdr:nvGraphicFramePr>
          <xdr:xfrm>
            <a:off x="0" y="0"/>
            <a:ext cx="0" cy="0"/>
          </xdr:xfrm>
          <a:graphic>
            <a:graphicData uri="http://schemas.microsoft.com/office/drawing/2010/slicer">
              <sle:slicer xmlns:sle="http://schemas.microsoft.com/office/drawing/2010/slicer" name="Задача"/>
            </a:graphicData>
          </a:graphic>
        </xdr:graphicFrame>
      </mc:Choice>
      <mc:Fallback xmlns="">
        <xdr:sp macro="" textlink="">
          <xdr:nvSpPr>
            <xdr:cNvPr id="0" name=""/>
            <xdr:cNvSpPr>
              <a:spLocks noTextEdit="1"/>
            </xdr:cNvSpPr>
          </xdr:nvSpPr>
          <xdr:spPr>
            <a:xfrm>
              <a:off x="6348128" y="392120"/>
              <a:ext cx="1037168" cy="7096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7420750" y="396882"/>
    <xdr:ext cx="1036637" cy="692150"/>
    <mc:AlternateContent xmlns:mc="http://schemas.openxmlformats.org/markup-compatibility/2006" xmlns:sle15="http://schemas.microsoft.com/office/drawing/2012/slicer">
      <mc:Choice Requires="sle15">
        <xdr:graphicFrame macro="">
          <xdr:nvGraphicFramePr>
            <xdr:cNvPr id="3" name="Доступность">
              <a:extLst>
                <a:ext uri="{FF2B5EF4-FFF2-40B4-BE49-F238E27FC236}">
                  <a16:creationId xmlns:a16="http://schemas.microsoft.com/office/drawing/2014/main" id="{0FE972AB-6A8E-05AD-8CAD-6871A46AF8F9}"/>
                </a:ext>
              </a:extLst>
            </xdr:cNvPr>
            <xdr:cNvGraphicFramePr/>
          </xdr:nvGraphicFramePr>
          <xdr:xfrm>
            <a:off x="0" y="0"/>
            <a:ext cx="0" cy="0"/>
          </xdr:xfrm>
          <a:graphic>
            <a:graphicData uri="http://schemas.microsoft.com/office/drawing/2010/slicer">
              <sle:slicer xmlns:sle="http://schemas.microsoft.com/office/drawing/2010/slicer" name="Доступность"/>
            </a:graphicData>
          </a:graphic>
        </xdr:graphicFrame>
      </mc:Choice>
      <mc:Fallback xmlns="">
        <xdr:sp macro="" textlink="">
          <xdr:nvSpPr>
            <xdr:cNvPr id="0" name=""/>
            <xdr:cNvSpPr>
              <a:spLocks noTextEdit="1"/>
            </xdr:cNvSpPr>
          </xdr:nvSpPr>
          <xdr:spPr>
            <a:xfrm>
              <a:off x="7420750" y="396882"/>
              <a:ext cx="1036637" cy="6921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4763</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4763</xdr:rowOff>
        </xdr:from>
        <xdr:to>
          <xdr:col>3</xdr:col>
          <xdr:colOff>0</xdr:colOff>
          <xdr:row>4</xdr:row>
          <xdr:rowOff>0</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582.780304976855" backgroundQuery="1" createdVersion="8" refreshedVersion="8" minRefreshableVersion="3" recordCount="5880" xr:uid="{3273953A-0FB7-4537-AE8E-444C6AB2B224}">
  <cacheSource type="external" connectionId="3"/>
  <cacheFields count="9">
    <cacheField name="Date" numFmtId="0">
      <sharedItems count="14">
        <s v="17.10.24"/>
        <s v="18.10.24"/>
        <s v="19.10.24"/>
        <s v="20.10.24"/>
        <s v="21.10.24"/>
        <s v="22.10.24"/>
        <s v="23.10.24"/>
        <s v="24.10.24"/>
        <s v="25.10.24"/>
        <s v="26.10.24"/>
        <s v="27.10.24"/>
        <s v="28.10.24"/>
        <s v="29.10.24"/>
        <s v="30.10.24"/>
      </sharedItems>
    </cacheField>
    <cacheField name="coefficient" numFmtId="0">
      <sharedItems containsSemiMixedTypes="0" containsString="0" containsNumber="1" containsInteger="1" minValue="-1" maxValue="20" count="7">
        <n v="-1"/>
        <n v="0"/>
        <n v="2"/>
        <n v="20"/>
        <n v="10"/>
        <n v="5"/>
        <n v="15"/>
      </sharedItems>
    </cacheField>
    <cacheField name="warehouseID" numFmtId="0">
      <sharedItems containsSemiMixedTypes="0" containsString="0" containsNumber="1" containsInteger="1" minValue="507" maxValue="324108"/>
    </cacheField>
    <cacheField name="warehouseName" numFmtId="0">
      <sharedItems count="105">
        <s v="СЦ Иркутск"/>
        <s v="СЦ Челябинск 2"/>
        <s v="СЦ Актобе"/>
        <s v="СЦ Вологда 2"/>
        <s v="Тула"/>
        <s v="Радумля СГТ"/>
        <s v="Шушары СГТ"/>
        <s v="СЦ Новокузнецк"/>
        <s v="Алматы Атакент"/>
        <s v="Коледино"/>
        <s v="Голицыно СГТ"/>
        <s v="СЦ Брест"/>
        <s v="Чехов 1, Новоселки вл 11 стр 2"/>
        <s v="Сц Брянск 2"/>
        <s v="СЦ Абакан"/>
        <s v="СЦ Оренбург Центральная"/>
        <s v="СЦ Ярославль"/>
        <s v="СЦ Чебоксары 2"/>
        <s v="Екатеринбург - Перспективный 12/2"/>
        <s v="СЦ Гродно"/>
        <s v="СЦ Пушкино"/>
        <s v="СЦ Обухово 2"/>
        <s v="Белые Столбы"/>
        <s v="Чашниково"/>
        <s v="Обухово СГТ"/>
        <s v="Невинномысск"/>
        <s v="Новосибирск"/>
        <s v="СЦ Крыловская"/>
        <s v="СЦ Шушары"/>
        <s v="СЦ Ош"/>
        <s v="СЦ Сыктывкар"/>
        <s v="СЦ Сабурово"/>
        <s v="СЦ Псков"/>
        <s v="СЦ Махачкала"/>
        <s v="СЦ Череповец"/>
        <s v="Астана 2"/>
        <s v="Чехов 2, Новоселки вл 11 стр 7"/>
        <s v="Екатеринбург - Испытателей 14г"/>
        <s v="СЦ Ноябрьск"/>
        <s v="СЦ Мурманск"/>
        <s v="СЦ Киров"/>
        <s v="СЦ Внуково"/>
        <s v="СЦ Семей"/>
        <s v="СЦ Вёшки"/>
        <s v="СЦ Белая Дача"/>
        <s v="СЦ Астрахань (Солянка)"/>
        <s v="СЦ Видное"/>
        <s v="СЦ Белогорск"/>
        <s v="СЦ Шымкент"/>
        <s v="СЦ Архангельск (ул Ленина)"/>
        <s v="СЦ Воронеж"/>
        <s v="СЦ Ульяновск"/>
        <s v="СЦ Барнаул"/>
        <s v="СЦ Нижний Тагил"/>
        <s v="СЦ Владикавказ"/>
        <s v="СЦ Липецк"/>
        <s v="СЦ Набережные Челны"/>
        <s v="СЦ Чита 2"/>
        <s v="СЦ Кемерово"/>
        <s v="СЦ Смоленск 3"/>
        <s v="СЦ Пятигорск"/>
        <s v="Астана"/>
        <s v="Санкт-Петербург (Уткина Заводь)"/>
        <s v="СЦ Хабаровск"/>
        <s v="Новосемейкино"/>
        <s v="Подольск 3"/>
        <s v="СЦ Абакан 2"/>
        <s v="СЦ Томск"/>
        <s v="СЦ Калуга"/>
        <s v="Обухово"/>
        <s v="СЦ Кузнецк"/>
        <s v="СЦ Вологда"/>
        <s v="СЦ Байсерке"/>
        <s v="СЦ Самара"/>
        <s v="СЦ Уральск"/>
        <s v="СЦ Омск"/>
        <s v="СЦ Ижевск"/>
        <s v="СЦ Новосибирск Пасечная"/>
        <s v="СЦ Артем"/>
        <s v="СЦ Астрахань"/>
        <s v="СЦ Тверь"/>
        <s v="СЦ Серов"/>
        <s v="Минск"/>
        <s v="СЦ Тюмень"/>
        <s v="Подольск"/>
        <s v="Волгоград"/>
        <s v="СЦ Ростов-на-Дону"/>
        <s v="СЦ Тамбов"/>
        <s v="СЦ Сургут"/>
        <s v="Рязань (Тюшевское)"/>
        <s v="СЦ Нижний Новгород"/>
        <s v="СЦ Пятигорск (Этока)"/>
        <s v="Казань"/>
        <s v="СЦ Симферополь"/>
        <s v="СЦ Бишкек"/>
        <s v="Котовск"/>
        <s v="СЦ Пермь 2"/>
        <s v="Краснодар (Тихорецкая)"/>
        <s v="Подольск 4"/>
        <s v="СЦ Уфа"/>
        <s v="СЦ Курск"/>
        <s v="СЦ Иваново"/>
        <s v="СЦ Владимир"/>
        <s v="Электросталь"/>
        <s v="Внуково СГТ"/>
      </sharedItems>
    </cacheField>
    <cacheField name="boxTypeName" numFmtId="0">
      <sharedItems count="5">
        <s v="Монопаллеты"/>
        <s v="Короба"/>
        <s v="Суперсейф"/>
        <s v="QR-поставка"/>
        <s v="QR-поставка с коробами" u="1"/>
      </sharedItems>
    </cacheField>
    <cacheField name="boxTypeID" numFmtId="0">
      <sharedItems containsString="0" containsBlank="1" containsNumber="1" containsInteger="1" minValue="2" maxValue="6" count="4">
        <n v="5"/>
        <n v="2"/>
        <n v="6"/>
        <m/>
      </sharedItems>
    </cacheField>
    <cacheField name="dateNew" numFmtId="0">
      <sharedItems containsSemiMixedTypes="0" containsNonDate="0" containsDate="1" containsString="0" minDate="2024-08-30T00:00:00" maxDate="2024-10-31T00:00:00" count="62">
        <d v="2024-10-17T00:00:00"/>
        <d v="2024-10-18T00:00:00"/>
        <d v="2024-10-19T00:00:00"/>
        <d v="2024-10-20T00:00:00"/>
        <d v="2024-10-21T00:00:00"/>
        <d v="2024-10-22T00:00:00"/>
        <d v="2024-10-23T00:00:00"/>
        <d v="2024-10-24T00:00:00"/>
        <d v="2024-10-25T00:00:00"/>
        <d v="2024-10-26T00:00:00"/>
        <d v="2024-10-27T00:00:00"/>
        <d v="2024-10-28T00:00:00"/>
        <d v="2024-10-29T00:00:00"/>
        <d v="2024-10-30T00:00:00"/>
        <d v="2024-10-16T00:00:00" u="1"/>
        <d v="2024-10-15T00:00:00" u="1"/>
        <d v="2024-10-14T00:00:00" u="1"/>
        <d v="2024-10-13T00:00:00" u="1"/>
        <d v="2024-10-12T00:00:00" u="1"/>
        <d v="2024-10-11T00:00:00" u="1"/>
        <d v="2024-10-10T00:00:00" u="1"/>
        <d v="2024-10-09T00:00:00" u="1"/>
        <d v="2024-10-08T00:00:00" u="1"/>
        <d v="2024-10-07T00:00:00" u="1"/>
        <d v="2024-10-06T00:00:00" u="1"/>
        <d v="2024-10-05T00:00:00" u="1"/>
        <d v="2024-10-04T00:00:00" u="1"/>
        <d v="2024-10-03T00:00:00" u="1"/>
        <d v="2024-10-01T00:00:00" u="1"/>
        <d v="2024-10-02T00:00:00" u="1"/>
        <d v="2024-09-30T00:00:00" u="1"/>
        <d v="2024-09-29T00:00:00" u="1"/>
        <d v="2024-09-28T00:00:00" u="1"/>
        <d v="2024-09-27T00:00:00" u="1"/>
        <d v="2024-09-25T00:00:00" u="1"/>
        <d v="2024-09-26T00:00:00" u="1"/>
        <d v="2024-09-19T00:00:00" u="1"/>
        <d v="2024-09-20T00:00:00" u="1"/>
        <d v="2024-09-21T00:00:00" u="1"/>
        <d v="2024-09-22T00:00:00" u="1"/>
        <d v="2024-09-23T00:00:00" u="1"/>
        <d v="2024-09-24T00:00:00" u="1"/>
        <d v="2024-09-18T00:00:00" u="1"/>
        <d v="2024-09-17T00:00:00" u="1"/>
        <d v="2024-09-16T00:00:00" u="1"/>
        <d v="2024-09-15T00:00:00" u="1"/>
        <d v="2024-09-14T00:00:00" u="1"/>
        <d v="2024-09-13T00:00:00" u="1"/>
        <d v="2024-09-12T00:00:00" u="1"/>
        <d v="2024-09-11T00:00:00" u="1"/>
        <d v="2024-09-10T00:00:00" u="1"/>
        <d v="2024-09-09T00:00:00" u="1"/>
        <d v="2024-09-08T00:00:00" u="1"/>
        <d v="2024-09-07T00:00:00" u="1"/>
        <d v="2024-09-06T00:00:00" u="1"/>
        <d v="2024-09-05T00:00:00" u="1"/>
        <d v="2024-09-04T00:00:00" u="1"/>
        <d v="2024-09-02T00:00:00" u="1"/>
        <d v="2024-09-03T00:00:00" u="1"/>
        <d v="2024-08-30T00:00:00" u="1"/>
        <d v="2024-08-31T00:00:00" u="1"/>
        <d v="2024-09-01T00:00:00" u="1"/>
      </sharedItems>
      <fieldGroup par="8"/>
    </cacheField>
    <cacheField name="Days (dateNew)" numFmtId="0" databaseField="0">
      <fieldGroup base="6">
        <rangePr groupBy="days" startDate="2024-10-17T00:00:00" endDate="2024-10-31T00:00:00"/>
        <groupItems count="368">
          <s v="&lt;17.10.2024"/>
          <s v="01.янв"/>
          <s v="02.янв"/>
          <s v="03.янв"/>
          <s v="04.янв"/>
          <s v="05.янв"/>
          <s v="06.янв"/>
          <s v="07.янв"/>
          <s v="08.янв"/>
          <s v="09.янв"/>
          <s v="10.янв"/>
          <s v="11.янв"/>
          <s v="12.янв"/>
          <s v="13.янв"/>
          <s v="14.янв"/>
          <s v="15.янв"/>
          <s v="16.янв"/>
          <s v="17.янв"/>
          <s v="18.янв"/>
          <s v="19.янв"/>
          <s v="20.янв"/>
          <s v="21.янв"/>
          <s v="22.янв"/>
          <s v="23.янв"/>
          <s v="24.янв"/>
          <s v="25.янв"/>
          <s v="26.янв"/>
          <s v="27.янв"/>
          <s v="28.янв"/>
          <s v="29.янв"/>
          <s v="30.янв"/>
          <s v="31.янв"/>
          <s v="01.фев"/>
          <s v="02.фев"/>
          <s v="03.фев"/>
          <s v="04.фев"/>
          <s v="05.фев"/>
          <s v="06.фев"/>
          <s v="07.фев"/>
          <s v="08.фев"/>
          <s v="09.фев"/>
          <s v="10.фев"/>
          <s v="11.фев"/>
          <s v="12.фев"/>
          <s v="13.фев"/>
          <s v="14.фев"/>
          <s v="15.фев"/>
          <s v="16.фев"/>
          <s v="17.фев"/>
          <s v="18.фев"/>
          <s v="19.фев"/>
          <s v="20.фев"/>
          <s v="21.фев"/>
          <s v="22.фев"/>
          <s v="23.фев"/>
          <s v="24.фев"/>
          <s v="25.фев"/>
          <s v="26.фев"/>
          <s v="27.фев"/>
          <s v="28.фев"/>
          <s v="29.фев"/>
          <s v="01.мар"/>
          <s v="02.мар"/>
          <s v="03.мар"/>
          <s v="04.мар"/>
          <s v="05.мар"/>
          <s v="06.мар"/>
          <s v="07.мар"/>
          <s v="08.мар"/>
          <s v="09.мар"/>
          <s v="10.мар"/>
          <s v="11.мар"/>
          <s v="12.мар"/>
          <s v="13.мар"/>
          <s v="14.мар"/>
          <s v="15.мар"/>
          <s v="16.мар"/>
          <s v="17.мар"/>
          <s v="18.мар"/>
          <s v="19.мар"/>
          <s v="20.мар"/>
          <s v="21.мар"/>
          <s v="22.мар"/>
          <s v="23.мар"/>
          <s v="24.мар"/>
          <s v="25.мар"/>
          <s v="26.мар"/>
          <s v="27.мар"/>
          <s v="28.мар"/>
          <s v="29.мар"/>
          <s v="30.мар"/>
          <s v="31.мар"/>
          <s v="01.апр"/>
          <s v="02.апр"/>
          <s v="03.апр"/>
          <s v="04.апр"/>
          <s v="05.апр"/>
          <s v="06.апр"/>
          <s v="07.апр"/>
          <s v="08.апр"/>
          <s v="09.апр"/>
          <s v="10.апр"/>
          <s v="11.апр"/>
          <s v="12.апр"/>
          <s v="13.апр"/>
          <s v="14.апр"/>
          <s v="15.апр"/>
          <s v="16.апр"/>
          <s v="17.апр"/>
          <s v="18.апр"/>
          <s v="19.апр"/>
          <s v="20.апр"/>
          <s v="21.апр"/>
          <s v="22.апр"/>
          <s v="23.апр"/>
          <s v="24.апр"/>
          <s v="25.апр"/>
          <s v="26.апр"/>
          <s v="27.апр"/>
          <s v="28.апр"/>
          <s v="29.апр"/>
          <s v="30.апр"/>
          <s v="01.май"/>
          <s v="02.май"/>
          <s v="03.май"/>
          <s v="04.май"/>
          <s v="05.май"/>
          <s v="06.май"/>
          <s v="07.май"/>
          <s v="08.май"/>
          <s v="09.май"/>
          <s v="10.май"/>
          <s v="11.май"/>
          <s v="12.май"/>
          <s v="13.май"/>
          <s v="14.май"/>
          <s v="15.май"/>
          <s v="16.май"/>
          <s v="17.май"/>
          <s v="18.май"/>
          <s v="19.май"/>
          <s v="20.май"/>
          <s v="21.май"/>
          <s v="22.май"/>
          <s v="23.май"/>
          <s v="24.май"/>
          <s v="25.май"/>
          <s v="26.май"/>
          <s v="27.май"/>
          <s v="28.май"/>
          <s v="29.май"/>
          <s v="30.май"/>
          <s v="31.май"/>
          <s v="01.июн"/>
          <s v="02.июн"/>
          <s v="03.июн"/>
          <s v="04.июн"/>
          <s v="05.июн"/>
          <s v="06.июн"/>
          <s v="07.июн"/>
          <s v="08.июн"/>
          <s v="09.июн"/>
          <s v="10.июн"/>
          <s v="11.июн"/>
          <s v="12.июн"/>
          <s v="13.июн"/>
          <s v="14.июн"/>
          <s v="15.июн"/>
          <s v="16.июн"/>
          <s v="17.июн"/>
          <s v="18.июн"/>
          <s v="19.июн"/>
          <s v="20.июн"/>
          <s v="21.июн"/>
          <s v="22.июн"/>
          <s v="23.июн"/>
          <s v="24.июн"/>
          <s v="25.июн"/>
          <s v="26.июн"/>
          <s v="27.июн"/>
          <s v="28.июн"/>
          <s v="29.июн"/>
          <s v="30.июн"/>
          <s v="01.июл"/>
          <s v="02.июл"/>
          <s v="03.июл"/>
          <s v="04.июл"/>
          <s v="05.июл"/>
          <s v="06.июл"/>
          <s v="07.июл"/>
          <s v="08.июл"/>
          <s v="09.июл"/>
          <s v="10.июл"/>
          <s v="11.июл"/>
          <s v="12.июл"/>
          <s v="13.июл"/>
          <s v="14.июл"/>
          <s v="15.июл"/>
          <s v="16.июл"/>
          <s v="17.июл"/>
          <s v="18.июл"/>
          <s v="19.июл"/>
          <s v="20.июл"/>
          <s v="21.июл"/>
          <s v="22.июл"/>
          <s v="23.июл"/>
          <s v="24.июл"/>
          <s v="25.июл"/>
          <s v="26.июл"/>
          <s v="27.июл"/>
          <s v="28.июл"/>
          <s v="29.июл"/>
          <s v="30.июл"/>
          <s v="31.июл"/>
          <s v="01.авг"/>
          <s v="02.авг"/>
          <s v="03.авг"/>
          <s v="04.авг"/>
          <s v="05.авг"/>
          <s v="06.авг"/>
          <s v="07.авг"/>
          <s v="08.авг"/>
          <s v="09.авг"/>
          <s v="10.авг"/>
          <s v="11.авг"/>
          <s v="12.авг"/>
          <s v="13.авг"/>
          <s v="14.авг"/>
          <s v="15.авг"/>
          <s v="16.авг"/>
          <s v="17.авг"/>
          <s v="18.авг"/>
          <s v="19.авг"/>
          <s v="20.авг"/>
          <s v="21.авг"/>
          <s v="22.авг"/>
          <s v="23.авг"/>
          <s v="24.авг"/>
          <s v="25.авг"/>
          <s v="26.авг"/>
          <s v="27.авг"/>
          <s v="28.авг"/>
          <s v="29.авг"/>
          <s v="30.авг"/>
          <s v="31.авг"/>
          <s v="01.сен"/>
          <s v="02.сен"/>
          <s v="03.сен"/>
          <s v="04.сен"/>
          <s v="05.сен"/>
          <s v="06.сен"/>
          <s v="07.сен"/>
          <s v="08.сен"/>
          <s v="09.сен"/>
          <s v="10.сен"/>
          <s v="11.сен"/>
          <s v="12.сен"/>
          <s v="13.сен"/>
          <s v="14.сен"/>
          <s v="15.сен"/>
          <s v="16.сен"/>
          <s v="17.сен"/>
          <s v="18.сен"/>
          <s v="19.сен"/>
          <s v="20.сен"/>
          <s v="21.сен"/>
          <s v="22.сен"/>
          <s v="23.сен"/>
          <s v="24.сен"/>
          <s v="25.сен"/>
          <s v="26.сен"/>
          <s v="27.сен"/>
          <s v="28.сен"/>
          <s v="29.сен"/>
          <s v="30.сен"/>
          <s v="01.окт"/>
          <s v="02.окт"/>
          <s v="03.окт"/>
          <s v="04.окт"/>
          <s v="05.окт"/>
          <s v="06.окт"/>
          <s v="07.окт"/>
          <s v="08.окт"/>
          <s v="09.окт"/>
          <s v="10.окт"/>
          <s v="11.окт"/>
          <s v="12.окт"/>
          <s v="13.окт"/>
          <s v="14.окт"/>
          <s v="15.окт"/>
          <s v="16.окт"/>
          <s v="17.окт"/>
          <s v="18.окт"/>
          <s v="19.окт"/>
          <s v="20.окт"/>
          <s v="21.окт"/>
          <s v="22.окт"/>
          <s v="23.окт"/>
          <s v="24.окт"/>
          <s v="25.окт"/>
          <s v="26.окт"/>
          <s v="27.окт"/>
          <s v="28.окт"/>
          <s v="29.окт"/>
          <s v="30.окт"/>
          <s v="31.окт"/>
          <s v="01.ноя"/>
          <s v="02.ноя"/>
          <s v="03.ноя"/>
          <s v="04.ноя"/>
          <s v="05.ноя"/>
          <s v="06.ноя"/>
          <s v="07.ноя"/>
          <s v="08.ноя"/>
          <s v="09.ноя"/>
          <s v="10.ноя"/>
          <s v="11.ноя"/>
          <s v="12.ноя"/>
          <s v="13.ноя"/>
          <s v="14.ноя"/>
          <s v="15.ноя"/>
          <s v="16.ноя"/>
          <s v="17.ноя"/>
          <s v="18.ноя"/>
          <s v="19.ноя"/>
          <s v="20.ноя"/>
          <s v="21.ноя"/>
          <s v="22.ноя"/>
          <s v="23.ноя"/>
          <s v="24.ноя"/>
          <s v="25.ноя"/>
          <s v="26.ноя"/>
          <s v="27.ноя"/>
          <s v="28.ноя"/>
          <s v="29.ноя"/>
          <s v="30.ноя"/>
          <s v="01.дек"/>
          <s v="02.дек"/>
          <s v="03.дек"/>
          <s v="04.дек"/>
          <s v="05.дек"/>
          <s v="06.дек"/>
          <s v="07.дек"/>
          <s v="08.дек"/>
          <s v="09.дек"/>
          <s v="10.дек"/>
          <s v="11.дек"/>
          <s v="12.дек"/>
          <s v="13.дек"/>
          <s v="14.дек"/>
          <s v="15.дек"/>
          <s v="16.дек"/>
          <s v="17.дек"/>
          <s v="18.дек"/>
          <s v="19.дек"/>
          <s v="20.дек"/>
          <s v="21.дек"/>
          <s v="22.дек"/>
          <s v="23.дек"/>
          <s v="24.дек"/>
          <s v="25.дек"/>
          <s v="26.дек"/>
          <s v="27.дек"/>
          <s v="28.дек"/>
          <s v="29.дек"/>
          <s v="30.дек"/>
          <s v="31.дек"/>
          <s v="&gt;31.10.2024"/>
        </groupItems>
      </fieldGroup>
    </cacheField>
    <cacheField name="Months (dateNew)" numFmtId="0" databaseField="0">
      <fieldGroup base="6">
        <rangePr groupBy="months" startDate="2024-10-17T00:00:00" endDate="2024-10-31T00:00:00"/>
        <groupItems count="14">
          <s v="&lt;17.10.2024"/>
          <s v="янв"/>
          <s v="фев"/>
          <s v="мар"/>
          <s v="апр"/>
          <s v="май"/>
          <s v="июн"/>
          <s v="июл"/>
          <s v="авг"/>
          <s v="сен"/>
          <s v="окт"/>
          <s v="ноя"/>
          <s v="дек"/>
          <s v="&gt;31.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80">
  <r>
    <x v="0"/>
    <x v="0"/>
    <n v="131643"/>
    <x v="0"/>
    <x v="0"/>
    <x v="0"/>
    <x v="0"/>
  </r>
  <r>
    <x v="0"/>
    <x v="0"/>
    <n v="218225"/>
    <x v="1"/>
    <x v="0"/>
    <x v="0"/>
    <x v="0"/>
  </r>
  <r>
    <x v="0"/>
    <x v="1"/>
    <n v="316879"/>
    <x v="2"/>
    <x v="0"/>
    <x v="0"/>
    <x v="0"/>
  </r>
  <r>
    <x v="0"/>
    <x v="0"/>
    <n v="300219"/>
    <x v="3"/>
    <x v="0"/>
    <x v="0"/>
    <x v="0"/>
  </r>
  <r>
    <x v="0"/>
    <x v="0"/>
    <n v="206348"/>
    <x v="4"/>
    <x v="1"/>
    <x v="1"/>
    <x v="0"/>
  </r>
  <r>
    <x v="0"/>
    <x v="0"/>
    <n v="300169"/>
    <x v="5"/>
    <x v="1"/>
    <x v="1"/>
    <x v="0"/>
  </r>
  <r>
    <x v="0"/>
    <x v="2"/>
    <n v="300219"/>
    <x v="3"/>
    <x v="1"/>
    <x v="1"/>
    <x v="0"/>
  </r>
  <r>
    <x v="0"/>
    <x v="0"/>
    <n v="316646"/>
    <x v="6"/>
    <x v="1"/>
    <x v="1"/>
    <x v="0"/>
  </r>
  <r>
    <x v="0"/>
    <x v="0"/>
    <n v="206348"/>
    <x v="4"/>
    <x v="0"/>
    <x v="0"/>
    <x v="0"/>
  </r>
  <r>
    <x v="0"/>
    <x v="0"/>
    <n v="300169"/>
    <x v="5"/>
    <x v="0"/>
    <x v="0"/>
    <x v="0"/>
  </r>
  <r>
    <x v="0"/>
    <x v="0"/>
    <n v="206708"/>
    <x v="7"/>
    <x v="0"/>
    <x v="0"/>
    <x v="0"/>
  </r>
  <r>
    <x v="0"/>
    <x v="1"/>
    <n v="218987"/>
    <x v="8"/>
    <x v="1"/>
    <x v="1"/>
    <x v="0"/>
  </r>
  <r>
    <x v="0"/>
    <x v="3"/>
    <n v="507"/>
    <x v="9"/>
    <x v="2"/>
    <x v="2"/>
    <x v="0"/>
  </r>
  <r>
    <x v="0"/>
    <x v="0"/>
    <n v="317470"/>
    <x v="10"/>
    <x v="0"/>
    <x v="0"/>
    <x v="0"/>
  </r>
  <r>
    <x v="0"/>
    <x v="0"/>
    <n v="316646"/>
    <x v="6"/>
    <x v="0"/>
    <x v="0"/>
    <x v="0"/>
  </r>
  <r>
    <x v="0"/>
    <x v="1"/>
    <n v="218987"/>
    <x v="8"/>
    <x v="2"/>
    <x v="2"/>
    <x v="0"/>
  </r>
  <r>
    <x v="0"/>
    <x v="4"/>
    <n v="300363"/>
    <x v="11"/>
    <x v="0"/>
    <x v="0"/>
    <x v="0"/>
  </r>
  <r>
    <x v="0"/>
    <x v="0"/>
    <n v="206708"/>
    <x v="7"/>
    <x v="1"/>
    <x v="1"/>
    <x v="0"/>
  </r>
  <r>
    <x v="0"/>
    <x v="0"/>
    <n v="206968"/>
    <x v="12"/>
    <x v="0"/>
    <x v="0"/>
    <x v="0"/>
  </r>
  <r>
    <x v="0"/>
    <x v="0"/>
    <n v="217081"/>
    <x v="13"/>
    <x v="2"/>
    <x v="2"/>
    <x v="0"/>
  </r>
  <r>
    <x v="0"/>
    <x v="0"/>
    <n v="206298"/>
    <x v="14"/>
    <x v="1"/>
    <x v="1"/>
    <x v="0"/>
  </r>
  <r>
    <x v="0"/>
    <x v="5"/>
    <n v="315199"/>
    <x v="15"/>
    <x v="1"/>
    <x v="1"/>
    <x v="0"/>
  </r>
  <r>
    <x v="0"/>
    <x v="3"/>
    <n v="207404"/>
    <x v="16"/>
    <x v="1"/>
    <x v="1"/>
    <x v="0"/>
  </r>
  <r>
    <x v="0"/>
    <x v="3"/>
    <n v="507"/>
    <x v="9"/>
    <x v="1"/>
    <x v="1"/>
    <x v="0"/>
  </r>
  <r>
    <x v="0"/>
    <x v="0"/>
    <n v="317470"/>
    <x v="10"/>
    <x v="1"/>
    <x v="1"/>
    <x v="0"/>
  </r>
  <r>
    <x v="0"/>
    <x v="0"/>
    <n v="218916"/>
    <x v="17"/>
    <x v="1"/>
    <x v="1"/>
    <x v="0"/>
  </r>
  <r>
    <x v="0"/>
    <x v="0"/>
    <n v="300571"/>
    <x v="18"/>
    <x v="0"/>
    <x v="0"/>
    <x v="0"/>
  </r>
  <r>
    <x v="0"/>
    <x v="1"/>
    <n v="314137"/>
    <x v="19"/>
    <x v="0"/>
    <x v="0"/>
    <x v="0"/>
  </r>
  <r>
    <x v="0"/>
    <x v="0"/>
    <n v="207743"/>
    <x v="20"/>
    <x v="0"/>
    <x v="0"/>
    <x v="0"/>
  </r>
  <r>
    <x v="0"/>
    <x v="0"/>
    <n v="312807"/>
    <x v="21"/>
    <x v="0"/>
    <x v="0"/>
    <x v="0"/>
  </r>
  <r>
    <x v="0"/>
    <x v="3"/>
    <n v="206236"/>
    <x v="22"/>
    <x v="1"/>
    <x v="1"/>
    <x v="0"/>
  </r>
  <r>
    <x v="0"/>
    <x v="3"/>
    <n v="207743"/>
    <x v="20"/>
    <x v="1"/>
    <x v="1"/>
    <x v="0"/>
  </r>
  <r>
    <x v="0"/>
    <x v="0"/>
    <n v="321932"/>
    <x v="23"/>
    <x v="0"/>
    <x v="0"/>
    <x v="0"/>
  </r>
  <r>
    <x v="0"/>
    <x v="0"/>
    <n v="312617"/>
    <x v="24"/>
    <x v="1"/>
    <x v="1"/>
    <x v="0"/>
  </r>
  <r>
    <x v="0"/>
    <x v="0"/>
    <n v="208277"/>
    <x v="25"/>
    <x v="0"/>
    <x v="0"/>
    <x v="0"/>
  </r>
  <r>
    <x v="0"/>
    <x v="0"/>
    <n v="312617"/>
    <x v="24"/>
    <x v="0"/>
    <x v="0"/>
    <x v="0"/>
  </r>
  <r>
    <x v="0"/>
    <x v="0"/>
    <n v="208277"/>
    <x v="25"/>
    <x v="1"/>
    <x v="1"/>
    <x v="0"/>
  </r>
  <r>
    <x v="0"/>
    <x v="0"/>
    <n v="686"/>
    <x v="26"/>
    <x v="1"/>
    <x v="1"/>
    <x v="0"/>
  </r>
  <r>
    <x v="0"/>
    <x v="0"/>
    <n v="205985"/>
    <x v="27"/>
    <x v="1"/>
    <x v="1"/>
    <x v="0"/>
  </r>
  <r>
    <x v="0"/>
    <x v="0"/>
    <n v="312259"/>
    <x v="28"/>
    <x v="1"/>
    <x v="1"/>
    <x v="0"/>
  </r>
  <r>
    <x v="0"/>
    <x v="0"/>
    <n v="218732"/>
    <x v="29"/>
    <x v="1"/>
    <x v="1"/>
    <x v="0"/>
  </r>
  <r>
    <x v="0"/>
    <x v="0"/>
    <n v="209208"/>
    <x v="30"/>
    <x v="1"/>
    <x v="1"/>
    <x v="0"/>
  </r>
  <r>
    <x v="0"/>
    <x v="0"/>
    <n v="323608"/>
    <x v="31"/>
    <x v="0"/>
    <x v="0"/>
    <x v="0"/>
  </r>
  <r>
    <x v="0"/>
    <x v="4"/>
    <n v="209209"/>
    <x v="32"/>
    <x v="1"/>
    <x v="1"/>
    <x v="0"/>
  </r>
  <r>
    <x v="0"/>
    <x v="0"/>
    <n v="323608"/>
    <x v="31"/>
    <x v="1"/>
    <x v="1"/>
    <x v="0"/>
  </r>
  <r>
    <x v="0"/>
    <x v="0"/>
    <n v="312259"/>
    <x v="28"/>
    <x v="0"/>
    <x v="0"/>
    <x v="0"/>
  </r>
  <r>
    <x v="0"/>
    <x v="0"/>
    <n v="209211"/>
    <x v="33"/>
    <x v="1"/>
    <x v="1"/>
    <x v="0"/>
  </r>
  <r>
    <x v="0"/>
    <x v="5"/>
    <n v="205985"/>
    <x v="27"/>
    <x v="0"/>
    <x v="0"/>
    <x v="0"/>
  </r>
  <r>
    <x v="0"/>
    <x v="0"/>
    <n v="311895"/>
    <x v="34"/>
    <x v="1"/>
    <x v="1"/>
    <x v="0"/>
  </r>
  <r>
    <x v="0"/>
    <x v="1"/>
    <n v="324108"/>
    <x v="35"/>
    <x v="0"/>
    <x v="0"/>
    <x v="0"/>
  </r>
  <r>
    <x v="0"/>
    <x v="0"/>
    <n v="210001"/>
    <x v="36"/>
    <x v="0"/>
    <x v="0"/>
    <x v="0"/>
  </r>
  <r>
    <x v="0"/>
    <x v="0"/>
    <n v="1733"/>
    <x v="37"/>
    <x v="0"/>
    <x v="0"/>
    <x v="0"/>
  </r>
  <r>
    <x v="0"/>
    <x v="5"/>
    <n v="303221"/>
    <x v="38"/>
    <x v="1"/>
    <x v="1"/>
    <x v="0"/>
  </r>
  <r>
    <x v="0"/>
    <x v="0"/>
    <n v="210001"/>
    <x v="36"/>
    <x v="1"/>
    <x v="1"/>
    <x v="0"/>
  </r>
  <r>
    <x v="0"/>
    <x v="4"/>
    <n v="205349"/>
    <x v="39"/>
    <x v="1"/>
    <x v="1"/>
    <x v="0"/>
  </r>
  <r>
    <x v="0"/>
    <x v="3"/>
    <n v="303219"/>
    <x v="40"/>
    <x v="1"/>
    <x v="1"/>
    <x v="0"/>
  </r>
  <r>
    <x v="0"/>
    <x v="3"/>
    <n v="210127"/>
    <x v="41"/>
    <x v="1"/>
    <x v="1"/>
    <x v="0"/>
  </r>
  <r>
    <x v="0"/>
    <x v="1"/>
    <n v="324108"/>
    <x v="35"/>
    <x v="2"/>
    <x v="2"/>
    <x v="0"/>
  </r>
  <r>
    <x v="0"/>
    <x v="0"/>
    <n v="303189"/>
    <x v="42"/>
    <x v="1"/>
    <x v="1"/>
    <x v="0"/>
  </r>
  <r>
    <x v="0"/>
    <x v="0"/>
    <n v="210515"/>
    <x v="43"/>
    <x v="0"/>
    <x v="0"/>
    <x v="0"/>
  </r>
  <r>
    <x v="0"/>
    <x v="0"/>
    <n v="205228"/>
    <x v="44"/>
    <x v="1"/>
    <x v="1"/>
    <x v="0"/>
  </r>
  <r>
    <x v="0"/>
    <x v="5"/>
    <n v="302988"/>
    <x v="45"/>
    <x v="1"/>
    <x v="1"/>
    <x v="0"/>
  </r>
  <r>
    <x v="0"/>
    <x v="0"/>
    <n v="210515"/>
    <x v="43"/>
    <x v="1"/>
    <x v="1"/>
    <x v="0"/>
  </r>
  <r>
    <x v="0"/>
    <x v="0"/>
    <n v="302856"/>
    <x v="46"/>
    <x v="0"/>
    <x v="0"/>
    <x v="0"/>
  </r>
  <r>
    <x v="0"/>
    <x v="1"/>
    <n v="324108"/>
    <x v="35"/>
    <x v="1"/>
    <x v="1"/>
    <x v="0"/>
  </r>
  <r>
    <x v="0"/>
    <x v="4"/>
    <n v="1733"/>
    <x v="37"/>
    <x v="2"/>
    <x v="2"/>
    <x v="0"/>
  </r>
  <r>
    <x v="0"/>
    <x v="2"/>
    <n v="210557"/>
    <x v="47"/>
    <x v="1"/>
    <x v="1"/>
    <x v="0"/>
  </r>
  <r>
    <x v="0"/>
    <x v="0"/>
    <n v="218698"/>
    <x v="48"/>
    <x v="1"/>
    <x v="1"/>
    <x v="0"/>
  </r>
  <r>
    <x v="0"/>
    <x v="4"/>
    <n v="302769"/>
    <x v="49"/>
    <x v="1"/>
    <x v="1"/>
    <x v="0"/>
  </r>
  <r>
    <x v="0"/>
    <x v="0"/>
    <n v="211415"/>
    <x v="50"/>
    <x v="1"/>
    <x v="1"/>
    <x v="0"/>
  </r>
  <r>
    <x v="0"/>
    <x v="5"/>
    <n v="205104"/>
    <x v="51"/>
    <x v="1"/>
    <x v="1"/>
    <x v="0"/>
  </r>
  <r>
    <x v="0"/>
    <x v="3"/>
    <n v="302737"/>
    <x v="52"/>
    <x v="1"/>
    <x v="1"/>
    <x v="0"/>
  </r>
  <r>
    <x v="0"/>
    <x v="4"/>
    <n v="211470"/>
    <x v="53"/>
    <x v="1"/>
    <x v="1"/>
    <x v="0"/>
  </r>
  <r>
    <x v="0"/>
    <x v="0"/>
    <n v="158751"/>
    <x v="54"/>
    <x v="0"/>
    <x v="0"/>
    <x v="0"/>
  </r>
  <r>
    <x v="0"/>
    <x v="0"/>
    <n v="158751"/>
    <x v="54"/>
    <x v="2"/>
    <x v="2"/>
    <x v="0"/>
  </r>
  <r>
    <x v="0"/>
    <x v="0"/>
    <n v="160030"/>
    <x v="55"/>
    <x v="0"/>
    <x v="0"/>
    <x v="0"/>
  </r>
  <r>
    <x v="0"/>
    <x v="0"/>
    <n v="160030"/>
    <x v="55"/>
    <x v="2"/>
    <x v="2"/>
    <x v="0"/>
  </r>
  <r>
    <x v="0"/>
    <x v="0"/>
    <n v="205228"/>
    <x v="44"/>
    <x v="0"/>
    <x v="0"/>
    <x v="0"/>
  </r>
  <r>
    <x v="0"/>
    <x v="0"/>
    <n v="302737"/>
    <x v="52"/>
    <x v="0"/>
    <x v="0"/>
    <x v="0"/>
  </r>
  <r>
    <x v="0"/>
    <x v="4"/>
    <n v="1733"/>
    <x v="37"/>
    <x v="1"/>
    <x v="1"/>
    <x v="0"/>
  </r>
  <r>
    <x v="0"/>
    <x v="0"/>
    <n v="204952"/>
    <x v="56"/>
    <x v="1"/>
    <x v="1"/>
    <x v="0"/>
  </r>
  <r>
    <x v="0"/>
    <x v="5"/>
    <n v="218674"/>
    <x v="57"/>
    <x v="1"/>
    <x v="1"/>
    <x v="0"/>
  </r>
  <r>
    <x v="0"/>
    <x v="0"/>
    <n v="205228"/>
    <x v="44"/>
    <x v="2"/>
    <x v="2"/>
    <x v="0"/>
  </r>
  <r>
    <x v="0"/>
    <x v="0"/>
    <n v="206298"/>
    <x v="14"/>
    <x v="0"/>
    <x v="0"/>
    <x v="0"/>
  </r>
  <r>
    <x v="0"/>
    <x v="0"/>
    <n v="206298"/>
    <x v="14"/>
    <x v="2"/>
    <x v="2"/>
    <x v="0"/>
  </r>
  <r>
    <x v="0"/>
    <x v="0"/>
    <n v="213849"/>
    <x v="58"/>
    <x v="0"/>
    <x v="0"/>
    <x v="0"/>
  </r>
  <r>
    <x v="0"/>
    <x v="0"/>
    <n v="213849"/>
    <x v="58"/>
    <x v="2"/>
    <x v="2"/>
    <x v="0"/>
  </r>
  <r>
    <x v="0"/>
    <x v="0"/>
    <n v="300219"/>
    <x v="3"/>
    <x v="2"/>
    <x v="2"/>
    <x v="0"/>
  </r>
  <r>
    <x v="0"/>
    <x v="0"/>
    <n v="300987"/>
    <x v="59"/>
    <x v="0"/>
    <x v="0"/>
    <x v="0"/>
  </r>
  <r>
    <x v="0"/>
    <x v="0"/>
    <n v="300987"/>
    <x v="59"/>
    <x v="2"/>
    <x v="2"/>
    <x v="0"/>
  </r>
  <r>
    <x v="0"/>
    <x v="0"/>
    <n v="158311"/>
    <x v="60"/>
    <x v="0"/>
    <x v="0"/>
    <x v="0"/>
  </r>
  <r>
    <x v="0"/>
    <x v="0"/>
    <n v="209209"/>
    <x v="32"/>
    <x v="2"/>
    <x v="2"/>
    <x v="0"/>
  </r>
  <r>
    <x v="0"/>
    <x v="0"/>
    <n v="204939"/>
    <x v="61"/>
    <x v="1"/>
    <x v="1"/>
    <x v="0"/>
  </r>
  <r>
    <x v="0"/>
    <x v="0"/>
    <n v="2737"/>
    <x v="62"/>
    <x v="0"/>
    <x v="0"/>
    <x v="0"/>
  </r>
  <r>
    <x v="0"/>
    <x v="0"/>
    <n v="158311"/>
    <x v="60"/>
    <x v="2"/>
    <x v="2"/>
    <x v="0"/>
  </r>
  <r>
    <x v="0"/>
    <x v="1"/>
    <n v="218644"/>
    <x v="63"/>
    <x v="1"/>
    <x v="1"/>
    <x v="0"/>
  </r>
  <r>
    <x v="0"/>
    <x v="0"/>
    <n v="300571"/>
    <x v="18"/>
    <x v="1"/>
    <x v="1"/>
    <x v="0"/>
  </r>
  <r>
    <x v="0"/>
    <x v="0"/>
    <n v="211415"/>
    <x v="50"/>
    <x v="0"/>
    <x v="0"/>
    <x v="0"/>
  </r>
  <r>
    <x v="0"/>
    <x v="0"/>
    <n v="211415"/>
    <x v="50"/>
    <x v="2"/>
    <x v="2"/>
    <x v="0"/>
  </r>
  <r>
    <x v="0"/>
    <x v="0"/>
    <n v="301805"/>
    <x v="64"/>
    <x v="2"/>
    <x v="2"/>
    <x v="0"/>
  </r>
  <r>
    <x v="0"/>
    <x v="0"/>
    <n v="301805"/>
    <x v="64"/>
    <x v="1"/>
    <x v="1"/>
    <x v="0"/>
  </r>
  <r>
    <x v="0"/>
    <x v="0"/>
    <n v="218623"/>
    <x v="65"/>
    <x v="2"/>
    <x v="2"/>
    <x v="0"/>
  </r>
  <r>
    <x v="0"/>
    <x v="0"/>
    <n v="218623"/>
    <x v="65"/>
    <x v="1"/>
    <x v="1"/>
    <x v="0"/>
  </r>
  <r>
    <x v="0"/>
    <x v="0"/>
    <n v="206348"/>
    <x v="4"/>
    <x v="2"/>
    <x v="2"/>
    <x v="0"/>
  </r>
  <r>
    <x v="0"/>
    <x v="0"/>
    <n v="300862"/>
    <x v="66"/>
    <x v="0"/>
    <x v="0"/>
    <x v="0"/>
  </r>
  <r>
    <x v="0"/>
    <x v="4"/>
    <n v="213849"/>
    <x v="58"/>
    <x v="1"/>
    <x v="1"/>
    <x v="0"/>
  </r>
  <r>
    <x v="0"/>
    <x v="4"/>
    <n v="204615"/>
    <x v="67"/>
    <x v="1"/>
    <x v="1"/>
    <x v="0"/>
  </r>
  <r>
    <x v="0"/>
    <x v="6"/>
    <n v="2737"/>
    <x v="62"/>
    <x v="1"/>
    <x v="1"/>
    <x v="0"/>
  </r>
  <r>
    <x v="0"/>
    <x v="0"/>
    <n v="300862"/>
    <x v="66"/>
    <x v="2"/>
    <x v="2"/>
    <x v="0"/>
  </r>
  <r>
    <x v="0"/>
    <x v="0"/>
    <n v="302737"/>
    <x v="52"/>
    <x v="2"/>
    <x v="2"/>
    <x v="0"/>
  </r>
  <r>
    <x v="0"/>
    <x v="0"/>
    <n v="117442"/>
    <x v="68"/>
    <x v="0"/>
    <x v="0"/>
    <x v="0"/>
  </r>
  <r>
    <x v="0"/>
    <x v="0"/>
    <n v="117442"/>
    <x v="68"/>
    <x v="2"/>
    <x v="2"/>
    <x v="0"/>
  </r>
  <r>
    <x v="0"/>
    <x v="0"/>
    <n v="218210"/>
    <x v="69"/>
    <x v="2"/>
    <x v="2"/>
    <x v="0"/>
  </r>
  <r>
    <x v="0"/>
    <x v="0"/>
    <n v="218210"/>
    <x v="69"/>
    <x v="1"/>
    <x v="1"/>
    <x v="0"/>
  </r>
  <r>
    <x v="0"/>
    <x v="0"/>
    <n v="207743"/>
    <x v="20"/>
    <x v="2"/>
    <x v="2"/>
    <x v="0"/>
  </r>
  <r>
    <x v="0"/>
    <x v="0"/>
    <n v="300571"/>
    <x v="18"/>
    <x v="2"/>
    <x v="2"/>
    <x v="0"/>
  </r>
  <r>
    <x v="0"/>
    <x v="0"/>
    <n v="206708"/>
    <x v="7"/>
    <x v="2"/>
    <x v="2"/>
    <x v="0"/>
  </r>
  <r>
    <x v="0"/>
    <x v="0"/>
    <n v="302335"/>
    <x v="70"/>
    <x v="1"/>
    <x v="1"/>
    <x v="0"/>
  </r>
  <r>
    <x v="0"/>
    <x v="0"/>
    <n v="203631"/>
    <x v="71"/>
    <x v="1"/>
    <x v="1"/>
    <x v="0"/>
  </r>
  <r>
    <x v="0"/>
    <x v="0"/>
    <n v="215020"/>
    <x v="72"/>
    <x v="2"/>
    <x v="2"/>
    <x v="0"/>
  </r>
  <r>
    <x v="0"/>
    <x v="0"/>
    <n v="218225"/>
    <x v="1"/>
    <x v="2"/>
    <x v="2"/>
    <x v="0"/>
  </r>
  <r>
    <x v="0"/>
    <x v="0"/>
    <n v="117230"/>
    <x v="73"/>
    <x v="1"/>
    <x v="1"/>
    <x v="0"/>
  </r>
  <r>
    <x v="0"/>
    <x v="0"/>
    <n v="131643"/>
    <x v="0"/>
    <x v="2"/>
    <x v="2"/>
    <x v="0"/>
  </r>
  <r>
    <x v="0"/>
    <x v="1"/>
    <n v="218644"/>
    <x v="63"/>
    <x v="0"/>
    <x v="0"/>
    <x v="0"/>
  </r>
  <r>
    <x v="0"/>
    <x v="0"/>
    <n v="300711"/>
    <x v="74"/>
    <x v="1"/>
    <x v="1"/>
    <x v="0"/>
  </r>
  <r>
    <x v="0"/>
    <x v="0"/>
    <n v="168458"/>
    <x v="75"/>
    <x v="0"/>
    <x v="0"/>
    <x v="0"/>
  </r>
  <r>
    <x v="0"/>
    <x v="0"/>
    <n v="168458"/>
    <x v="75"/>
    <x v="2"/>
    <x v="2"/>
    <x v="0"/>
  </r>
  <r>
    <x v="0"/>
    <x v="0"/>
    <n v="218628"/>
    <x v="76"/>
    <x v="2"/>
    <x v="2"/>
    <x v="0"/>
  </r>
  <r>
    <x v="0"/>
    <x v="0"/>
    <n v="161520"/>
    <x v="77"/>
    <x v="0"/>
    <x v="0"/>
    <x v="0"/>
  </r>
  <r>
    <x v="0"/>
    <x v="5"/>
    <n v="214951"/>
    <x v="78"/>
    <x v="1"/>
    <x v="1"/>
    <x v="0"/>
  </r>
  <r>
    <x v="0"/>
    <x v="0"/>
    <n v="169872"/>
    <x v="79"/>
    <x v="1"/>
    <x v="1"/>
    <x v="0"/>
  </r>
  <r>
    <x v="0"/>
    <x v="0"/>
    <n v="161520"/>
    <x v="77"/>
    <x v="2"/>
    <x v="2"/>
    <x v="0"/>
  </r>
  <r>
    <x v="0"/>
    <x v="0"/>
    <n v="205349"/>
    <x v="39"/>
    <x v="0"/>
    <x v="0"/>
    <x v="0"/>
  </r>
  <r>
    <x v="0"/>
    <x v="0"/>
    <n v="205349"/>
    <x v="39"/>
    <x v="2"/>
    <x v="2"/>
    <x v="0"/>
  </r>
  <r>
    <x v="0"/>
    <x v="0"/>
    <n v="117442"/>
    <x v="68"/>
    <x v="1"/>
    <x v="1"/>
    <x v="0"/>
  </r>
  <r>
    <x v="0"/>
    <x v="0"/>
    <n v="117456"/>
    <x v="80"/>
    <x v="0"/>
    <x v="0"/>
    <x v="0"/>
  </r>
  <r>
    <x v="0"/>
    <x v="0"/>
    <n v="117456"/>
    <x v="80"/>
    <x v="2"/>
    <x v="2"/>
    <x v="0"/>
  </r>
  <r>
    <x v="0"/>
    <x v="0"/>
    <n v="507"/>
    <x v="9"/>
    <x v="0"/>
    <x v="0"/>
    <x v="0"/>
  </r>
  <r>
    <x v="0"/>
    <x v="0"/>
    <n v="210557"/>
    <x v="47"/>
    <x v="0"/>
    <x v="0"/>
    <x v="0"/>
  </r>
  <r>
    <x v="0"/>
    <x v="0"/>
    <n v="210557"/>
    <x v="47"/>
    <x v="2"/>
    <x v="2"/>
    <x v="0"/>
  </r>
  <r>
    <x v="0"/>
    <x v="0"/>
    <n v="300169"/>
    <x v="5"/>
    <x v="2"/>
    <x v="2"/>
    <x v="0"/>
  </r>
  <r>
    <x v="0"/>
    <x v="0"/>
    <n v="316646"/>
    <x v="6"/>
    <x v="2"/>
    <x v="2"/>
    <x v="0"/>
  </r>
  <r>
    <x v="0"/>
    <x v="1"/>
    <n v="302335"/>
    <x v="70"/>
    <x v="0"/>
    <x v="0"/>
    <x v="0"/>
  </r>
  <r>
    <x v="0"/>
    <x v="0"/>
    <n v="169537"/>
    <x v="81"/>
    <x v="1"/>
    <x v="1"/>
    <x v="0"/>
  </r>
  <r>
    <x v="0"/>
    <x v="0"/>
    <n v="117230"/>
    <x v="73"/>
    <x v="0"/>
    <x v="0"/>
    <x v="0"/>
  </r>
  <r>
    <x v="0"/>
    <x v="0"/>
    <n v="117230"/>
    <x v="73"/>
    <x v="2"/>
    <x v="2"/>
    <x v="0"/>
  </r>
  <r>
    <x v="0"/>
    <x v="0"/>
    <n v="208277"/>
    <x v="25"/>
    <x v="2"/>
    <x v="2"/>
    <x v="0"/>
  </r>
  <r>
    <x v="0"/>
    <x v="0"/>
    <n v="117456"/>
    <x v="80"/>
    <x v="1"/>
    <x v="1"/>
    <x v="0"/>
  </r>
  <r>
    <x v="0"/>
    <x v="0"/>
    <n v="211622"/>
    <x v="82"/>
    <x v="2"/>
    <x v="2"/>
    <x v="0"/>
  </r>
  <r>
    <x v="0"/>
    <x v="0"/>
    <n v="211622"/>
    <x v="82"/>
    <x v="1"/>
    <x v="1"/>
    <x v="0"/>
  </r>
  <r>
    <x v="0"/>
    <x v="3"/>
    <n v="218628"/>
    <x v="76"/>
    <x v="1"/>
    <x v="1"/>
    <x v="0"/>
  </r>
  <r>
    <x v="0"/>
    <x v="0"/>
    <n v="311895"/>
    <x v="34"/>
    <x v="0"/>
    <x v="0"/>
    <x v="0"/>
  </r>
  <r>
    <x v="0"/>
    <x v="0"/>
    <n v="311895"/>
    <x v="34"/>
    <x v="2"/>
    <x v="2"/>
    <x v="0"/>
  </r>
  <r>
    <x v="0"/>
    <x v="0"/>
    <n v="169872"/>
    <x v="79"/>
    <x v="0"/>
    <x v="0"/>
    <x v="0"/>
  </r>
  <r>
    <x v="0"/>
    <x v="0"/>
    <n v="169872"/>
    <x v="79"/>
    <x v="2"/>
    <x v="2"/>
    <x v="0"/>
  </r>
  <r>
    <x v="0"/>
    <x v="1"/>
    <n v="215020"/>
    <x v="72"/>
    <x v="0"/>
    <x v="0"/>
    <x v="0"/>
  </r>
  <r>
    <x v="0"/>
    <x v="4"/>
    <n v="168458"/>
    <x v="75"/>
    <x v="1"/>
    <x v="1"/>
    <x v="0"/>
  </r>
  <r>
    <x v="0"/>
    <x v="0"/>
    <n v="117819"/>
    <x v="83"/>
    <x v="0"/>
    <x v="0"/>
    <x v="0"/>
  </r>
  <r>
    <x v="0"/>
    <x v="0"/>
    <n v="117819"/>
    <x v="83"/>
    <x v="2"/>
    <x v="2"/>
    <x v="0"/>
  </r>
  <r>
    <x v="0"/>
    <x v="0"/>
    <n v="209208"/>
    <x v="30"/>
    <x v="0"/>
    <x v="0"/>
    <x v="0"/>
  </r>
  <r>
    <x v="0"/>
    <x v="0"/>
    <n v="117501"/>
    <x v="84"/>
    <x v="1"/>
    <x v="1"/>
    <x v="0"/>
  </r>
  <r>
    <x v="0"/>
    <x v="0"/>
    <n v="209208"/>
    <x v="30"/>
    <x v="2"/>
    <x v="2"/>
    <x v="0"/>
  </r>
  <r>
    <x v="0"/>
    <x v="4"/>
    <n v="300862"/>
    <x v="66"/>
    <x v="1"/>
    <x v="1"/>
    <x v="0"/>
  </r>
  <r>
    <x v="0"/>
    <x v="0"/>
    <n v="211470"/>
    <x v="53"/>
    <x v="0"/>
    <x v="0"/>
    <x v="0"/>
  </r>
  <r>
    <x v="0"/>
    <x v="0"/>
    <n v="211470"/>
    <x v="53"/>
    <x v="2"/>
    <x v="2"/>
    <x v="0"/>
  </r>
  <r>
    <x v="0"/>
    <x v="0"/>
    <n v="302856"/>
    <x v="46"/>
    <x v="2"/>
    <x v="2"/>
    <x v="0"/>
  </r>
  <r>
    <x v="0"/>
    <x v="0"/>
    <n v="302856"/>
    <x v="46"/>
    <x v="1"/>
    <x v="1"/>
    <x v="0"/>
  </r>
  <r>
    <x v="0"/>
    <x v="0"/>
    <n v="686"/>
    <x v="26"/>
    <x v="0"/>
    <x v="0"/>
    <x v="0"/>
  </r>
  <r>
    <x v="0"/>
    <x v="0"/>
    <n v="301983"/>
    <x v="85"/>
    <x v="1"/>
    <x v="1"/>
    <x v="0"/>
  </r>
  <r>
    <x v="0"/>
    <x v="3"/>
    <n v="117819"/>
    <x v="83"/>
    <x v="1"/>
    <x v="1"/>
    <x v="0"/>
  </r>
  <r>
    <x v="0"/>
    <x v="4"/>
    <n v="161520"/>
    <x v="77"/>
    <x v="1"/>
    <x v="1"/>
    <x v="0"/>
  </r>
  <r>
    <x v="0"/>
    <x v="0"/>
    <n v="686"/>
    <x v="26"/>
    <x v="2"/>
    <x v="2"/>
    <x v="0"/>
  </r>
  <r>
    <x v="0"/>
    <x v="5"/>
    <n v="218628"/>
    <x v="76"/>
    <x v="0"/>
    <x v="0"/>
    <x v="0"/>
  </r>
  <r>
    <x v="0"/>
    <x v="0"/>
    <n v="323608"/>
    <x v="31"/>
    <x v="2"/>
    <x v="2"/>
    <x v="0"/>
  </r>
  <r>
    <x v="0"/>
    <x v="0"/>
    <n v="218616"/>
    <x v="86"/>
    <x v="0"/>
    <x v="0"/>
    <x v="0"/>
  </r>
  <r>
    <x v="0"/>
    <x v="0"/>
    <n v="218616"/>
    <x v="86"/>
    <x v="2"/>
    <x v="2"/>
    <x v="0"/>
  </r>
  <r>
    <x v="0"/>
    <x v="0"/>
    <n v="209211"/>
    <x v="33"/>
    <x v="0"/>
    <x v="0"/>
    <x v="0"/>
  </r>
  <r>
    <x v="0"/>
    <x v="0"/>
    <n v="209211"/>
    <x v="33"/>
    <x v="2"/>
    <x v="2"/>
    <x v="0"/>
  </r>
  <r>
    <x v="0"/>
    <x v="0"/>
    <n v="312617"/>
    <x v="24"/>
    <x v="2"/>
    <x v="2"/>
    <x v="0"/>
  </r>
  <r>
    <x v="0"/>
    <x v="0"/>
    <n v="217081"/>
    <x v="13"/>
    <x v="0"/>
    <x v="0"/>
    <x v="0"/>
  </r>
  <r>
    <x v="0"/>
    <x v="0"/>
    <n v="300711"/>
    <x v="74"/>
    <x v="0"/>
    <x v="0"/>
    <x v="0"/>
  </r>
  <r>
    <x v="0"/>
    <x v="0"/>
    <n v="215020"/>
    <x v="72"/>
    <x v="1"/>
    <x v="1"/>
    <x v="0"/>
  </r>
  <r>
    <x v="0"/>
    <x v="3"/>
    <n v="117866"/>
    <x v="87"/>
    <x v="1"/>
    <x v="1"/>
    <x v="0"/>
  </r>
  <r>
    <x v="0"/>
    <x v="4"/>
    <n v="161003"/>
    <x v="88"/>
    <x v="1"/>
    <x v="1"/>
    <x v="0"/>
  </r>
  <r>
    <x v="0"/>
    <x v="5"/>
    <n v="300987"/>
    <x v="59"/>
    <x v="1"/>
    <x v="1"/>
    <x v="0"/>
  </r>
  <r>
    <x v="0"/>
    <x v="0"/>
    <n v="300711"/>
    <x v="74"/>
    <x v="2"/>
    <x v="2"/>
    <x v="0"/>
  </r>
  <r>
    <x v="0"/>
    <x v="0"/>
    <n v="301760"/>
    <x v="89"/>
    <x v="2"/>
    <x v="2"/>
    <x v="0"/>
  </r>
  <r>
    <x v="0"/>
    <x v="0"/>
    <n v="316879"/>
    <x v="2"/>
    <x v="2"/>
    <x v="2"/>
    <x v="0"/>
  </r>
  <r>
    <x v="0"/>
    <x v="0"/>
    <n v="316879"/>
    <x v="2"/>
    <x v="1"/>
    <x v="1"/>
    <x v="0"/>
  </r>
  <r>
    <x v="0"/>
    <x v="0"/>
    <n v="118535"/>
    <x v="90"/>
    <x v="0"/>
    <x v="0"/>
    <x v="0"/>
  </r>
  <r>
    <x v="0"/>
    <x v="0"/>
    <n v="118535"/>
    <x v="90"/>
    <x v="2"/>
    <x v="2"/>
    <x v="0"/>
  </r>
  <r>
    <x v="0"/>
    <x v="0"/>
    <n v="301920"/>
    <x v="91"/>
    <x v="0"/>
    <x v="0"/>
    <x v="0"/>
  </r>
  <r>
    <x v="0"/>
    <x v="0"/>
    <n v="301920"/>
    <x v="91"/>
    <x v="2"/>
    <x v="2"/>
    <x v="0"/>
  </r>
  <r>
    <x v="0"/>
    <x v="0"/>
    <n v="302769"/>
    <x v="49"/>
    <x v="0"/>
    <x v="0"/>
    <x v="0"/>
  </r>
  <r>
    <x v="0"/>
    <x v="0"/>
    <n v="301983"/>
    <x v="85"/>
    <x v="0"/>
    <x v="0"/>
    <x v="0"/>
  </r>
  <r>
    <x v="0"/>
    <x v="3"/>
    <n v="160030"/>
    <x v="55"/>
    <x v="1"/>
    <x v="1"/>
    <x v="0"/>
  </r>
  <r>
    <x v="0"/>
    <x v="5"/>
    <n v="117986"/>
    <x v="92"/>
    <x v="0"/>
    <x v="0"/>
    <x v="0"/>
  </r>
  <r>
    <x v="0"/>
    <x v="0"/>
    <n v="302769"/>
    <x v="49"/>
    <x v="2"/>
    <x v="2"/>
    <x v="0"/>
  </r>
  <r>
    <x v="0"/>
    <x v="0"/>
    <n v="218623"/>
    <x v="65"/>
    <x v="0"/>
    <x v="0"/>
    <x v="0"/>
  </r>
  <r>
    <x v="0"/>
    <x v="0"/>
    <n v="303221"/>
    <x v="38"/>
    <x v="0"/>
    <x v="0"/>
    <x v="0"/>
  </r>
  <r>
    <x v="0"/>
    <x v="0"/>
    <n v="303221"/>
    <x v="38"/>
    <x v="2"/>
    <x v="2"/>
    <x v="0"/>
  </r>
  <r>
    <x v="0"/>
    <x v="0"/>
    <n v="312807"/>
    <x v="21"/>
    <x v="2"/>
    <x v="2"/>
    <x v="0"/>
  </r>
  <r>
    <x v="0"/>
    <x v="0"/>
    <n v="312807"/>
    <x v="21"/>
    <x v="1"/>
    <x v="1"/>
    <x v="0"/>
  </r>
  <r>
    <x v="0"/>
    <x v="0"/>
    <n v="210001"/>
    <x v="36"/>
    <x v="2"/>
    <x v="2"/>
    <x v="0"/>
  </r>
  <r>
    <x v="0"/>
    <x v="0"/>
    <n v="300363"/>
    <x v="11"/>
    <x v="2"/>
    <x v="2"/>
    <x v="0"/>
  </r>
  <r>
    <x v="0"/>
    <x v="0"/>
    <n v="300363"/>
    <x v="11"/>
    <x v="1"/>
    <x v="1"/>
    <x v="0"/>
  </r>
  <r>
    <x v="0"/>
    <x v="0"/>
    <n v="144154"/>
    <x v="93"/>
    <x v="0"/>
    <x v="0"/>
    <x v="0"/>
  </r>
  <r>
    <x v="0"/>
    <x v="0"/>
    <n v="216476"/>
    <x v="94"/>
    <x v="1"/>
    <x v="1"/>
    <x v="0"/>
  </r>
  <r>
    <x v="0"/>
    <x v="0"/>
    <n v="158751"/>
    <x v="54"/>
    <x v="1"/>
    <x v="1"/>
    <x v="0"/>
  </r>
  <r>
    <x v="0"/>
    <x v="0"/>
    <n v="144154"/>
    <x v="93"/>
    <x v="2"/>
    <x v="2"/>
    <x v="0"/>
  </r>
  <r>
    <x v="0"/>
    <x v="5"/>
    <n v="117986"/>
    <x v="92"/>
    <x v="2"/>
    <x v="2"/>
    <x v="0"/>
  </r>
  <r>
    <x v="0"/>
    <x v="0"/>
    <n v="301809"/>
    <x v="95"/>
    <x v="2"/>
    <x v="2"/>
    <x v="0"/>
  </r>
  <r>
    <x v="0"/>
    <x v="0"/>
    <n v="301809"/>
    <x v="95"/>
    <x v="1"/>
    <x v="1"/>
    <x v="0"/>
  </r>
  <r>
    <x v="0"/>
    <x v="0"/>
    <n v="218616"/>
    <x v="86"/>
    <x v="1"/>
    <x v="1"/>
    <x v="0"/>
  </r>
  <r>
    <x v="0"/>
    <x v="0"/>
    <n v="303189"/>
    <x v="42"/>
    <x v="0"/>
    <x v="0"/>
    <x v="0"/>
  </r>
  <r>
    <x v="0"/>
    <x v="0"/>
    <n v="303189"/>
    <x v="42"/>
    <x v="2"/>
    <x v="2"/>
    <x v="0"/>
  </r>
  <r>
    <x v="0"/>
    <x v="0"/>
    <n v="303219"/>
    <x v="40"/>
    <x v="0"/>
    <x v="0"/>
    <x v="0"/>
  </r>
  <r>
    <x v="0"/>
    <x v="0"/>
    <n v="303219"/>
    <x v="40"/>
    <x v="2"/>
    <x v="2"/>
    <x v="0"/>
  </r>
  <r>
    <x v="0"/>
    <x v="0"/>
    <n v="317470"/>
    <x v="10"/>
    <x v="2"/>
    <x v="2"/>
    <x v="0"/>
  </r>
  <r>
    <x v="0"/>
    <x v="0"/>
    <n v="2737"/>
    <x v="62"/>
    <x v="2"/>
    <x v="2"/>
    <x v="0"/>
  </r>
  <r>
    <x v="0"/>
    <x v="0"/>
    <n v="117501"/>
    <x v="84"/>
    <x v="0"/>
    <x v="0"/>
    <x v="0"/>
  </r>
  <r>
    <x v="0"/>
    <x v="0"/>
    <n v="216566"/>
    <x v="96"/>
    <x v="1"/>
    <x v="1"/>
    <x v="0"/>
  </r>
  <r>
    <x v="0"/>
    <x v="0"/>
    <n v="158311"/>
    <x v="60"/>
    <x v="1"/>
    <x v="1"/>
    <x v="0"/>
  </r>
  <r>
    <x v="0"/>
    <x v="0"/>
    <n v="117501"/>
    <x v="84"/>
    <x v="2"/>
    <x v="2"/>
    <x v="0"/>
  </r>
  <r>
    <x v="0"/>
    <x v="5"/>
    <n v="117986"/>
    <x v="92"/>
    <x v="1"/>
    <x v="1"/>
    <x v="0"/>
  </r>
  <r>
    <x v="0"/>
    <x v="0"/>
    <n v="130744"/>
    <x v="97"/>
    <x v="2"/>
    <x v="2"/>
    <x v="0"/>
  </r>
  <r>
    <x v="0"/>
    <x v="0"/>
    <n v="301229"/>
    <x v="98"/>
    <x v="0"/>
    <x v="0"/>
    <x v="0"/>
  </r>
  <r>
    <x v="0"/>
    <x v="0"/>
    <n v="204939"/>
    <x v="61"/>
    <x v="0"/>
    <x v="0"/>
    <x v="0"/>
  </r>
  <r>
    <x v="0"/>
    <x v="0"/>
    <n v="204939"/>
    <x v="61"/>
    <x v="2"/>
    <x v="2"/>
    <x v="0"/>
  </r>
  <r>
    <x v="0"/>
    <x v="0"/>
    <n v="216566"/>
    <x v="96"/>
    <x v="0"/>
    <x v="0"/>
    <x v="0"/>
  </r>
  <r>
    <x v="0"/>
    <x v="0"/>
    <n v="216566"/>
    <x v="96"/>
    <x v="2"/>
    <x v="2"/>
    <x v="0"/>
  </r>
  <r>
    <x v="0"/>
    <x v="0"/>
    <n v="301229"/>
    <x v="98"/>
    <x v="2"/>
    <x v="2"/>
    <x v="0"/>
  </r>
  <r>
    <x v="0"/>
    <x v="0"/>
    <n v="301229"/>
    <x v="98"/>
    <x v="1"/>
    <x v="1"/>
    <x v="0"/>
  </r>
  <r>
    <x v="0"/>
    <x v="0"/>
    <n v="302335"/>
    <x v="70"/>
    <x v="2"/>
    <x v="2"/>
    <x v="0"/>
  </r>
  <r>
    <x v="0"/>
    <x v="0"/>
    <n v="301920"/>
    <x v="91"/>
    <x v="1"/>
    <x v="1"/>
    <x v="0"/>
  </r>
  <r>
    <x v="0"/>
    <x v="3"/>
    <n v="149445"/>
    <x v="99"/>
    <x v="1"/>
    <x v="1"/>
    <x v="0"/>
  </r>
  <r>
    <x v="0"/>
    <x v="0"/>
    <n v="140302"/>
    <x v="100"/>
    <x v="0"/>
    <x v="0"/>
    <x v="0"/>
  </r>
  <r>
    <x v="0"/>
    <x v="0"/>
    <n v="140302"/>
    <x v="100"/>
    <x v="2"/>
    <x v="2"/>
    <x v="0"/>
  </r>
  <r>
    <x v="0"/>
    <x v="0"/>
    <n v="118535"/>
    <x v="90"/>
    <x v="1"/>
    <x v="1"/>
    <x v="0"/>
  </r>
  <r>
    <x v="0"/>
    <x v="0"/>
    <n v="218698"/>
    <x v="48"/>
    <x v="0"/>
    <x v="0"/>
    <x v="0"/>
  </r>
  <r>
    <x v="0"/>
    <x v="0"/>
    <n v="218698"/>
    <x v="48"/>
    <x v="2"/>
    <x v="2"/>
    <x v="0"/>
  </r>
  <r>
    <x v="0"/>
    <x v="0"/>
    <n v="218402"/>
    <x v="101"/>
    <x v="1"/>
    <x v="1"/>
    <x v="0"/>
  </r>
  <r>
    <x v="0"/>
    <x v="0"/>
    <n v="218402"/>
    <x v="101"/>
    <x v="0"/>
    <x v="0"/>
    <x v="0"/>
  </r>
  <r>
    <x v="0"/>
    <x v="0"/>
    <n v="218402"/>
    <x v="101"/>
    <x v="2"/>
    <x v="2"/>
    <x v="0"/>
  </r>
  <r>
    <x v="0"/>
    <x v="0"/>
    <n v="315199"/>
    <x v="15"/>
    <x v="0"/>
    <x v="0"/>
    <x v="0"/>
  </r>
  <r>
    <x v="0"/>
    <x v="0"/>
    <n v="315199"/>
    <x v="15"/>
    <x v="2"/>
    <x v="2"/>
    <x v="0"/>
  </r>
  <r>
    <x v="0"/>
    <x v="0"/>
    <n v="301983"/>
    <x v="85"/>
    <x v="2"/>
    <x v="2"/>
    <x v="0"/>
  </r>
  <r>
    <x v="0"/>
    <x v="0"/>
    <n v="217081"/>
    <x v="13"/>
    <x v="1"/>
    <x v="1"/>
    <x v="0"/>
  </r>
  <r>
    <x v="0"/>
    <x v="0"/>
    <n v="144649"/>
    <x v="102"/>
    <x v="1"/>
    <x v="1"/>
    <x v="0"/>
  </r>
  <r>
    <x v="0"/>
    <x v="0"/>
    <n v="302988"/>
    <x v="45"/>
    <x v="0"/>
    <x v="0"/>
    <x v="0"/>
  </r>
  <r>
    <x v="0"/>
    <x v="0"/>
    <n v="302988"/>
    <x v="45"/>
    <x v="2"/>
    <x v="2"/>
    <x v="0"/>
  </r>
  <r>
    <x v="0"/>
    <x v="0"/>
    <n v="120762"/>
    <x v="103"/>
    <x v="0"/>
    <x v="0"/>
    <x v="0"/>
  </r>
  <r>
    <x v="0"/>
    <x v="0"/>
    <n v="205985"/>
    <x v="27"/>
    <x v="2"/>
    <x v="2"/>
    <x v="0"/>
  </r>
  <r>
    <x v="0"/>
    <x v="0"/>
    <n v="301760"/>
    <x v="89"/>
    <x v="0"/>
    <x v="0"/>
    <x v="0"/>
  </r>
  <r>
    <x v="0"/>
    <x v="0"/>
    <n v="218644"/>
    <x v="63"/>
    <x v="2"/>
    <x v="2"/>
    <x v="0"/>
  </r>
  <r>
    <x v="0"/>
    <x v="0"/>
    <n v="144649"/>
    <x v="102"/>
    <x v="0"/>
    <x v="0"/>
    <x v="0"/>
  </r>
  <r>
    <x v="0"/>
    <x v="0"/>
    <n v="144649"/>
    <x v="102"/>
    <x v="2"/>
    <x v="2"/>
    <x v="0"/>
  </r>
  <r>
    <x v="0"/>
    <x v="0"/>
    <n v="169537"/>
    <x v="81"/>
    <x v="0"/>
    <x v="0"/>
    <x v="0"/>
  </r>
  <r>
    <x v="0"/>
    <x v="0"/>
    <n v="169537"/>
    <x v="81"/>
    <x v="2"/>
    <x v="2"/>
    <x v="0"/>
  </r>
  <r>
    <x v="0"/>
    <x v="0"/>
    <n v="204615"/>
    <x v="67"/>
    <x v="0"/>
    <x v="0"/>
    <x v="0"/>
  </r>
  <r>
    <x v="0"/>
    <x v="0"/>
    <n v="204615"/>
    <x v="67"/>
    <x v="2"/>
    <x v="2"/>
    <x v="0"/>
  </r>
  <r>
    <x v="0"/>
    <x v="0"/>
    <n v="301809"/>
    <x v="95"/>
    <x v="0"/>
    <x v="0"/>
    <x v="0"/>
  </r>
  <r>
    <x v="0"/>
    <x v="0"/>
    <n v="144154"/>
    <x v="93"/>
    <x v="1"/>
    <x v="1"/>
    <x v="0"/>
  </r>
  <r>
    <x v="0"/>
    <x v="0"/>
    <n v="216476"/>
    <x v="94"/>
    <x v="0"/>
    <x v="0"/>
    <x v="0"/>
  </r>
  <r>
    <x v="0"/>
    <x v="0"/>
    <n v="216476"/>
    <x v="94"/>
    <x v="2"/>
    <x v="2"/>
    <x v="0"/>
  </r>
  <r>
    <x v="0"/>
    <x v="0"/>
    <n v="120762"/>
    <x v="103"/>
    <x v="1"/>
    <x v="1"/>
    <x v="0"/>
  </r>
  <r>
    <x v="0"/>
    <x v="0"/>
    <n v="149445"/>
    <x v="99"/>
    <x v="0"/>
    <x v="0"/>
    <x v="0"/>
  </r>
  <r>
    <x v="0"/>
    <x v="0"/>
    <n v="149445"/>
    <x v="99"/>
    <x v="2"/>
    <x v="2"/>
    <x v="0"/>
  </r>
  <r>
    <x v="0"/>
    <x v="4"/>
    <n v="218225"/>
    <x v="1"/>
    <x v="1"/>
    <x v="1"/>
    <x v="0"/>
  </r>
  <r>
    <x v="0"/>
    <x v="0"/>
    <n v="314137"/>
    <x v="19"/>
    <x v="2"/>
    <x v="2"/>
    <x v="0"/>
  </r>
  <r>
    <x v="0"/>
    <x v="0"/>
    <n v="314137"/>
    <x v="19"/>
    <x v="1"/>
    <x v="1"/>
    <x v="0"/>
  </r>
  <r>
    <x v="0"/>
    <x v="0"/>
    <n v="206236"/>
    <x v="22"/>
    <x v="0"/>
    <x v="0"/>
    <x v="0"/>
  </r>
  <r>
    <x v="0"/>
    <x v="0"/>
    <n v="217678"/>
    <x v="104"/>
    <x v="2"/>
    <x v="2"/>
    <x v="0"/>
  </r>
  <r>
    <x v="0"/>
    <x v="0"/>
    <n v="217678"/>
    <x v="104"/>
    <x v="0"/>
    <x v="0"/>
    <x v="0"/>
  </r>
  <r>
    <x v="0"/>
    <x v="0"/>
    <n v="210515"/>
    <x v="43"/>
    <x v="2"/>
    <x v="2"/>
    <x v="0"/>
  </r>
  <r>
    <x v="0"/>
    <x v="0"/>
    <n v="207404"/>
    <x v="16"/>
    <x v="2"/>
    <x v="2"/>
    <x v="0"/>
  </r>
  <r>
    <x v="0"/>
    <x v="0"/>
    <n v="207404"/>
    <x v="16"/>
    <x v="0"/>
    <x v="0"/>
    <x v="0"/>
  </r>
  <r>
    <x v="0"/>
    <x v="0"/>
    <n v="203631"/>
    <x v="71"/>
    <x v="2"/>
    <x v="2"/>
    <x v="0"/>
  </r>
  <r>
    <x v="0"/>
    <x v="0"/>
    <n v="203631"/>
    <x v="71"/>
    <x v="0"/>
    <x v="0"/>
    <x v="0"/>
  </r>
  <r>
    <x v="0"/>
    <x v="0"/>
    <n v="130744"/>
    <x v="97"/>
    <x v="0"/>
    <x v="0"/>
    <x v="0"/>
  </r>
  <r>
    <x v="0"/>
    <x v="0"/>
    <n v="206236"/>
    <x v="22"/>
    <x v="2"/>
    <x v="2"/>
    <x v="0"/>
  </r>
  <r>
    <x v="0"/>
    <x v="0"/>
    <n v="301760"/>
    <x v="89"/>
    <x v="1"/>
    <x v="1"/>
    <x v="0"/>
  </r>
  <r>
    <x v="0"/>
    <x v="0"/>
    <n v="209209"/>
    <x v="32"/>
    <x v="0"/>
    <x v="0"/>
    <x v="0"/>
  </r>
  <r>
    <x v="0"/>
    <x v="0"/>
    <n v="218732"/>
    <x v="29"/>
    <x v="2"/>
    <x v="2"/>
    <x v="0"/>
  </r>
  <r>
    <x v="0"/>
    <x v="0"/>
    <n v="218732"/>
    <x v="29"/>
    <x v="0"/>
    <x v="0"/>
    <x v="0"/>
  </r>
  <r>
    <x v="0"/>
    <x v="0"/>
    <n v="321932"/>
    <x v="23"/>
    <x v="1"/>
    <x v="1"/>
    <x v="0"/>
  </r>
  <r>
    <x v="0"/>
    <x v="0"/>
    <n v="321932"/>
    <x v="23"/>
    <x v="2"/>
    <x v="2"/>
    <x v="0"/>
  </r>
  <r>
    <x v="0"/>
    <x v="0"/>
    <n v="117866"/>
    <x v="87"/>
    <x v="2"/>
    <x v="2"/>
    <x v="0"/>
  </r>
  <r>
    <x v="0"/>
    <x v="0"/>
    <n v="117866"/>
    <x v="87"/>
    <x v="0"/>
    <x v="0"/>
    <x v="0"/>
  </r>
  <r>
    <x v="0"/>
    <x v="0"/>
    <n v="206968"/>
    <x v="12"/>
    <x v="1"/>
    <x v="1"/>
    <x v="0"/>
  </r>
  <r>
    <x v="0"/>
    <x v="0"/>
    <n v="130744"/>
    <x v="97"/>
    <x v="1"/>
    <x v="1"/>
    <x v="0"/>
  </r>
  <r>
    <x v="0"/>
    <x v="0"/>
    <n v="217678"/>
    <x v="104"/>
    <x v="1"/>
    <x v="1"/>
    <x v="0"/>
  </r>
  <r>
    <x v="0"/>
    <x v="0"/>
    <n v="140302"/>
    <x v="100"/>
    <x v="1"/>
    <x v="1"/>
    <x v="0"/>
  </r>
  <r>
    <x v="0"/>
    <x v="0"/>
    <n v="218210"/>
    <x v="69"/>
    <x v="0"/>
    <x v="0"/>
    <x v="0"/>
  </r>
  <r>
    <x v="0"/>
    <x v="0"/>
    <n v="206968"/>
    <x v="12"/>
    <x v="2"/>
    <x v="2"/>
    <x v="0"/>
  </r>
  <r>
    <x v="0"/>
    <x v="0"/>
    <n v="161003"/>
    <x v="88"/>
    <x v="2"/>
    <x v="2"/>
    <x v="0"/>
  </r>
  <r>
    <x v="0"/>
    <x v="0"/>
    <n v="161003"/>
    <x v="88"/>
    <x v="0"/>
    <x v="0"/>
    <x v="0"/>
  </r>
  <r>
    <x v="0"/>
    <x v="0"/>
    <n v="205104"/>
    <x v="51"/>
    <x v="2"/>
    <x v="2"/>
    <x v="0"/>
  </r>
  <r>
    <x v="0"/>
    <x v="0"/>
    <n v="205104"/>
    <x v="51"/>
    <x v="0"/>
    <x v="0"/>
    <x v="0"/>
  </r>
  <r>
    <x v="0"/>
    <x v="0"/>
    <n v="312259"/>
    <x v="28"/>
    <x v="2"/>
    <x v="2"/>
    <x v="0"/>
  </r>
  <r>
    <x v="0"/>
    <x v="0"/>
    <n v="218674"/>
    <x v="57"/>
    <x v="2"/>
    <x v="2"/>
    <x v="0"/>
  </r>
  <r>
    <x v="0"/>
    <x v="0"/>
    <n v="218674"/>
    <x v="57"/>
    <x v="0"/>
    <x v="0"/>
    <x v="0"/>
  </r>
  <r>
    <x v="0"/>
    <x v="0"/>
    <n v="210127"/>
    <x v="41"/>
    <x v="2"/>
    <x v="2"/>
    <x v="0"/>
  </r>
  <r>
    <x v="0"/>
    <x v="0"/>
    <n v="210127"/>
    <x v="41"/>
    <x v="0"/>
    <x v="0"/>
    <x v="0"/>
  </r>
  <r>
    <x v="0"/>
    <x v="4"/>
    <n v="131643"/>
    <x v="0"/>
    <x v="1"/>
    <x v="1"/>
    <x v="0"/>
  </r>
  <r>
    <x v="0"/>
    <x v="0"/>
    <n v="211622"/>
    <x v="82"/>
    <x v="0"/>
    <x v="0"/>
    <x v="0"/>
  </r>
  <r>
    <x v="0"/>
    <x v="0"/>
    <n v="301805"/>
    <x v="64"/>
    <x v="0"/>
    <x v="0"/>
    <x v="0"/>
  </r>
  <r>
    <x v="0"/>
    <x v="0"/>
    <n v="120762"/>
    <x v="103"/>
    <x v="2"/>
    <x v="2"/>
    <x v="0"/>
  </r>
  <r>
    <x v="0"/>
    <x v="0"/>
    <n v="214951"/>
    <x v="78"/>
    <x v="2"/>
    <x v="2"/>
    <x v="0"/>
  </r>
  <r>
    <x v="0"/>
    <x v="0"/>
    <n v="214951"/>
    <x v="78"/>
    <x v="0"/>
    <x v="0"/>
    <x v="0"/>
  </r>
  <r>
    <x v="0"/>
    <x v="0"/>
    <n v="204952"/>
    <x v="56"/>
    <x v="2"/>
    <x v="2"/>
    <x v="0"/>
  </r>
  <r>
    <x v="0"/>
    <x v="0"/>
    <n v="204952"/>
    <x v="56"/>
    <x v="0"/>
    <x v="0"/>
    <x v="0"/>
  </r>
  <r>
    <x v="0"/>
    <x v="0"/>
    <n v="218916"/>
    <x v="17"/>
    <x v="2"/>
    <x v="2"/>
    <x v="0"/>
  </r>
  <r>
    <x v="0"/>
    <x v="0"/>
    <n v="218916"/>
    <x v="17"/>
    <x v="0"/>
    <x v="0"/>
    <x v="0"/>
  </r>
  <r>
    <x v="0"/>
    <x v="1"/>
    <n v="218987"/>
    <x v="8"/>
    <x v="0"/>
    <x v="0"/>
    <x v="0"/>
  </r>
  <r>
    <x v="1"/>
    <x v="0"/>
    <n v="218616"/>
    <x v="86"/>
    <x v="2"/>
    <x v="2"/>
    <x v="1"/>
  </r>
  <r>
    <x v="1"/>
    <x v="0"/>
    <n v="323608"/>
    <x v="31"/>
    <x v="2"/>
    <x v="2"/>
    <x v="1"/>
  </r>
  <r>
    <x v="1"/>
    <x v="0"/>
    <n v="218210"/>
    <x v="69"/>
    <x v="0"/>
    <x v="0"/>
    <x v="1"/>
  </r>
  <r>
    <x v="1"/>
    <x v="0"/>
    <n v="140302"/>
    <x v="100"/>
    <x v="1"/>
    <x v="1"/>
    <x v="1"/>
  </r>
  <r>
    <x v="1"/>
    <x v="0"/>
    <n v="217678"/>
    <x v="104"/>
    <x v="1"/>
    <x v="1"/>
    <x v="1"/>
  </r>
  <r>
    <x v="1"/>
    <x v="0"/>
    <n v="130744"/>
    <x v="97"/>
    <x v="1"/>
    <x v="1"/>
    <x v="1"/>
  </r>
  <r>
    <x v="1"/>
    <x v="0"/>
    <n v="301760"/>
    <x v="89"/>
    <x v="1"/>
    <x v="1"/>
    <x v="1"/>
  </r>
  <r>
    <x v="1"/>
    <x v="0"/>
    <n v="130744"/>
    <x v="97"/>
    <x v="0"/>
    <x v="0"/>
    <x v="1"/>
  </r>
  <r>
    <x v="1"/>
    <x v="0"/>
    <n v="169537"/>
    <x v="81"/>
    <x v="0"/>
    <x v="0"/>
    <x v="1"/>
  </r>
  <r>
    <x v="1"/>
    <x v="0"/>
    <n v="169537"/>
    <x v="81"/>
    <x v="2"/>
    <x v="2"/>
    <x v="1"/>
  </r>
  <r>
    <x v="1"/>
    <x v="0"/>
    <n v="301805"/>
    <x v="64"/>
    <x v="0"/>
    <x v="0"/>
    <x v="1"/>
  </r>
  <r>
    <x v="1"/>
    <x v="3"/>
    <n v="218225"/>
    <x v="1"/>
    <x v="1"/>
    <x v="1"/>
    <x v="1"/>
  </r>
  <r>
    <x v="1"/>
    <x v="0"/>
    <n v="120762"/>
    <x v="103"/>
    <x v="1"/>
    <x v="1"/>
    <x v="1"/>
  </r>
  <r>
    <x v="1"/>
    <x v="0"/>
    <n v="204615"/>
    <x v="67"/>
    <x v="2"/>
    <x v="2"/>
    <x v="1"/>
  </r>
  <r>
    <x v="1"/>
    <x v="0"/>
    <n v="216476"/>
    <x v="94"/>
    <x v="0"/>
    <x v="0"/>
    <x v="1"/>
  </r>
  <r>
    <x v="1"/>
    <x v="0"/>
    <n v="216476"/>
    <x v="94"/>
    <x v="2"/>
    <x v="2"/>
    <x v="1"/>
  </r>
  <r>
    <x v="1"/>
    <x v="0"/>
    <n v="144154"/>
    <x v="93"/>
    <x v="1"/>
    <x v="1"/>
    <x v="1"/>
  </r>
  <r>
    <x v="1"/>
    <x v="0"/>
    <n v="144649"/>
    <x v="102"/>
    <x v="0"/>
    <x v="0"/>
    <x v="1"/>
  </r>
  <r>
    <x v="1"/>
    <x v="0"/>
    <n v="301809"/>
    <x v="95"/>
    <x v="0"/>
    <x v="0"/>
    <x v="1"/>
  </r>
  <r>
    <x v="1"/>
    <x v="0"/>
    <n v="144649"/>
    <x v="102"/>
    <x v="2"/>
    <x v="2"/>
    <x v="1"/>
  </r>
  <r>
    <x v="1"/>
    <x v="0"/>
    <n v="314137"/>
    <x v="19"/>
    <x v="2"/>
    <x v="2"/>
    <x v="1"/>
  </r>
  <r>
    <x v="1"/>
    <x v="0"/>
    <n v="314137"/>
    <x v="19"/>
    <x v="1"/>
    <x v="1"/>
    <x v="1"/>
  </r>
  <r>
    <x v="1"/>
    <x v="0"/>
    <n v="149445"/>
    <x v="99"/>
    <x v="0"/>
    <x v="0"/>
    <x v="1"/>
  </r>
  <r>
    <x v="1"/>
    <x v="0"/>
    <n v="149445"/>
    <x v="99"/>
    <x v="2"/>
    <x v="2"/>
    <x v="1"/>
  </r>
  <r>
    <x v="1"/>
    <x v="0"/>
    <n v="209209"/>
    <x v="32"/>
    <x v="0"/>
    <x v="0"/>
    <x v="1"/>
  </r>
  <r>
    <x v="1"/>
    <x v="0"/>
    <n v="301760"/>
    <x v="89"/>
    <x v="0"/>
    <x v="0"/>
    <x v="1"/>
  </r>
  <r>
    <x v="1"/>
    <x v="0"/>
    <n v="120762"/>
    <x v="103"/>
    <x v="0"/>
    <x v="0"/>
    <x v="1"/>
  </r>
  <r>
    <x v="1"/>
    <x v="0"/>
    <n v="209209"/>
    <x v="32"/>
    <x v="2"/>
    <x v="2"/>
    <x v="1"/>
  </r>
  <r>
    <x v="1"/>
    <x v="0"/>
    <n v="217081"/>
    <x v="13"/>
    <x v="0"/>
    <x v="0"/>
    <x v="1"/>
  </r>
  <r>
    <x v="1"/>
    <x v="0"/>
    <n v="217081"/>
    <x v="13"/>
    <x v="2"/>
    <x v="2"/>
    <x v="1"/>
  </r>
  <r>
    <x v="1"/>
    <x v="0"/>
    <n v="144649"/>
    <x v="102"/>
    <x v="1"/>
    <x v="1"/>
    <x v="1"/>
  </r>
  <r>
    <x v="1"/>
    <x v="0"/>
    <n v="217081"/>
    <x v="13"/>
    <x v="1"/>
    <x v="1"/>
    <x v="1"/>
  </r>
  <r>
    <x v="1"/>
    <x v="0"/>
    <n v="218916"/>
    <x v="17"/>
    <x v="0"/>
    <x v="0"/>
    <x v="1"/>
  </r>
  <r>
    <x v="1"/>
    <x v="0"/>
    <n v="218916"/>
    <x v="17"/>
    <x v="2"/>
    <x v="2"/>
    <x v="1"/>
  </r>
  <r>
    <x v="1"/>
    <x v="0"/>
    <n v="206236"/>
    <x v="22"/>
    <x v="0"/>
    <x v="0"/>
    <x v="1"/>
  </r>
  <r>
    <x v="1"/>
    <x v="0"/>
    <n v="206236"/>
    <x v="22"/>
    <x v="2"/>
    <x v="2"/>
    <x v="1"/>
  </r>
  <r>
    <x v="1"/>
    <x v="0"/>
    <n v="204952"/>
    <x v="56"/>
    <x v="0"/>
    <x v="0"/>
    <x v="1"/>
  </r>
  <r>
    <x v="1"/>
    <x v="0"/>
    <n v="204952"/>
    <x v="56"/>
    <x v="2"/>
    <x v="2"/>
    <x v="1"/>
  </r>
  <r>
    <x v="1"/>
    <x v="0"/>
    <n v="218402"/>
    <x v="101"/>
    <x v="1"/>
    <x v="1"/>
    <x v="1"/>
  </r>
  <r>
    <x v="1"/>
    <x v="0"/>
    <n v="118535"/>
    <x v="90"/>
    <x v="1"/>
    <x v="1"/>
    <x v="1"/>
  </r>
  <r>
    <x v="1"/>
    <x v="0"/>
    <n v="117230"/>
    <x v="73"/>
    <x v="1"/>
    <x v="1"/>
    <x v="1"/>
  </r>
  <r>
    <x v="1"/>
    <x v="0"/>
    <n v="214951"/>
    <x v="78"/>
    <x v="2"/>
    <x v="2"/>
    <x v="1"/>
  </r>
  <r>
    <x v="1"/>
    <x v="0"/>
    <n v="218674"/>
    <x v="57"/>
    <x v="0"/>
    <x v="0"/>
    <x v="1"/>
  </r>
  <r>
    <x v="1"/>
    <x v="3"/>
    <n v="149445"/>
    <x v="99"/>
    <x v="1"/>
    <x v="1"/>
    <x v="1"/>
  </r>
  <r>
    <x v="1"/>
    <x v="0"/>
    <n v="218674"/>
    <x v="57"/>
    <x v="2"/>
    <x v="2"/>
    <x v="1"/>
  </r>
  <r>
    <x v="1"/>
    <x v="0"/>
    <n v="301920"/>
    <x v="91"/>
    <x v="1"/>
    <x v="1"/>
    <x v="1"/>
  </r>
  <r>
    <x v="1"/>
    <x v="0"/>
    <n v="312259"/>
    <x v="28"/>
    <x v="2"/>
    <x v="2"/>
    <x v="1"/>
  </r>
  <r>
    <x v="1"/>
    <x v="0"/>
    <n v="205104"/>
    <x v="51"/>
    <x v="0"/>
    <x v="0"/>
    <x v="1"/>
  </r>
  <r>
    <x v="1"/>
    <x v="0"/>
    <n v="205104"/>
    <x v="51"/>
    <x v="2"/>
    <x v="2"/>
    <x v="1"/>
  </r>
  <r>
    <x v="1"/>
    <x v="0"/>
    <n v="210127"/>
    <x v="41"/>
    <x v="0"/>
    <x v="0"/>
    <x v="1"/>
  </r>
  <r>
    <x v="1"/>
    <x v="0"/>
    <n v="210127"/>
    <x v="41"/>
    <x v="2"/>
    <x v="2"/>
    <x v="1"/>
  </r>
  <r>
    <x v="1"/>
    <x v="0"/>
    <n v="161003"/>
    <x v="88"/>
    <x v="0"/>
    <x v="0"/>
    <x v="1"/>
  </r>
  <r>
    <x v="1"/>
    <x v="0"/>
    <n v="301229"/>
    <x v="98"/>
    <x v="0"/>
    <x v="0"/>
    <x v="1"/>
  </r>
  <r>
    <x v="1"/>
    <x v="5"/>
    <n v="117986"/>
    <x v="92"/>
    <x v="1"/>
    <x v="1"/>
    <x v="1"/>
  </r>
  <r>
    <x v="1"/>
    <x v="0"/>
    <n v="161003"/>
    <x v="88"/>
    <x v="2"/>
    <x v="2"/>
    <x v="1"/>
  </r>
  <r>
    <x v="1"/>
    <x v="0"/>
    <n v="206968"/>
    <x v="12"/>
    <x v="2"/>
    <x v="2"/>
    <x v="1"/>
  </r>
  <r>
    <x v="1"/>
    <x v="0"/>
    <n v="158311"/>
    <x v="60"/>
    <x v="1"/>
    <x v="1"/>
    <x v="1"/>
  </r>
  <r>
    <x v="1"/>
    <x v="0"/>
    <n v="216566"/>
    <x v="96"/>
    <x v="1"/>
    <x v="1"/>
    <x v="1"/>
  </r>
  <r>
    <x v="1"/>
    <x v="0"/>
    <n v="206968"/>
    <x v="12"/>
    <x v="1"/>
    <x v="1"/>
    <x v="1"/>
  </r>
  <r>
    <x v="1"/>
    <x v="0"/>
    <n v="117866"/>
    <x v="87"/>
    <x v="0"/>
    <x v="0"/>
    <x v="1"/>
  </r>
  <r>
    <x v="1"/>
    <x v="0"/>
    <n v="117866"/>
    <x v="87"/>
    <x v="2"/>
    <x v="2"/>
    <x v="1"/>
  </r>
  <r>
    <x v="1"/>
    <x v="0"/>
    <n v="218732"/>
    <x v="29"/>
    <x v="0"/>
    <x v="0"/>
    <x v="1"/>
  </r>
  <r>
    <x v="1"/>
    <x v="0"/>
    <n v="218732"/>
    <x v="29"/>
    <x v="2"/>
    <x v="2"/>
    <x v="1"/>
  </r>
  <r>
    <x v="1"/>
    <x v="0"/>
    <n v="321932"/>
    <x v="23"/>
    <x v="2"/>
    <x v="2"/>
    <x v="1"/>
  </r>
  <r>
    <x v="1"/>
    <x v="0"/>
    <n v="321932"/>
    <x v="23"/>
    <x v="1"/>
    <x v="1"/>
    <x v="1"/>
  </r>
  <r>
    <x v="1"/>
    <x v="0"/>
    <n v="203631"/>
    <x v="71"/>
    <x v="0"/>
    <x v="0"/>
    <x v="1"/>
  </r>
  <r>
    <x v="1"/>
    <x v="0"/>
    <n v="218616"/>
    <x v="86"/>
    <x v="1"/>
    <x v="1"/>
    <x v="1"/>
  </r>
  <r>
    <x v="1"/>
    <x v="5"/>
    <n v="117986"/>
    <x v="92"/>
    <x v="2"/>
    <x v="2"/>
    <x v="1"/>
  </r>
  <r>
    <x v="1"/>
    <x v="0"/>
    <n v="203631"/>
    <x v="71"/>
    <x v="2"/>
    <x v="2"/>
    <x v="1"/>
  </r>
  <r>
    <x v="1"/>
    <x v="0"/>
    <n v="207404"/>
    <x v="16"/>
    <x v="0"/>
    <x v="0"/>
    <x v="1"/>
  </r>
  <r>
    <x v="1"/>
    <x v="0"/>
    <n v="158751"/>
    <x v="54"/>
    <x v="1"/>
    <x v="1"/>
    <x v="1"/>
  </r>
  <r>
    <x v="1"/>
    <x v="0"/>
    <n v="216476"/>
    <x v="94"/>
    <x v="1"/>
    <x v="1"/>
    <x v="1"/>
  </r>
  <r>
    <x v="1"/>
    <x v="0"/>
    <n v="207404"/>
    <x v="16"/>
    <x v="2"/>
    <x v="2"/>
    <x v="1"/>
  </r>
  <r>
    <x v="1"/>
    <x v="0"/>
    <n v="210515"/>
    <x v="43"/>
    <x v="2"/>
    <x v="2"/>
    <x v="1"/>
  </r>
  <r>
    <x v="1"/>
    <x v="0"/>
    <n v="217678"/>
    <x v="104"/>
    <x v="0"/>
    <x v="0"/>
    <x v="1"/>
  </r>
  <r>
    <x v="1"/>
    <x v="0"/>
    <n v="217678"/>
    <x v="104"/>
    <x v="2"/>
    <x v="2"/>
    <x v="1"/>
  </r>
  <r>
    <x v="1"/>
    <x v="0"/>
    <n v="160030"/>
    <x v="55"/>
    <x v="0"/>
    <x v="0"/>
    <x v="1"/>
  </r>
  <r>
    <x v="1"/>
    <x v="0"/>
    <n v="160030"/>
    <x v="55"/>
    <x v="2"/>
    <x v="2"/>
    <x v="1"/>
  </r>
  <r>
    <x v="1"/>
    <x v="0"/>
    <n v="205228"/>
    <x v="44"/>
    <x v="0"/>
    <x v="0"/>
    <x v="1"/>
  </r>
  <r>
    <x v="1"/>
    <x v="0"/>
    <n v="205228"/>
    <x v="44"/>
    <x v="2"/>
    <x v="2"/>
    <x v="1"/>
  </r>
  <r>
    <x v="1"/>
    <x v="3"/>
    <n v="300987"/>
    <x v="59"/>
    <x v="1"/>
    <x v="1"/>
    <x v="1"/>
  </r>
  <r>
    <x v="1"/>
    <x v="5"/>
    <n v="117986"/>
    <x v="92"/>
    <x v="0"/>
    <x v="0"/>
    <x v="1"/>
  </r>
  <r>
    <x v="1"/>
    <x v="0"/>
    <n v="206298"/>
    <x v="14"/>
    <x v="0"/>
    <x v="0"/>
    <x v="1"/>
  </r>
  <r>
    <x v="1"/>
    <x v="3"/>
    <n v="160030"/>
    <x v="55"/>
    <x v="1"/>
    <x v="1"/>
    <x v="1"/>
  </r>
  <r>
    <x v="1"/>
    <x v="0"/>
    <n v="206298"/>
    <x v="14"/>
    <x v="2"/>
    <x v="2"/>
    <x v="1"/>
  </r>
  <r>
    <x v="1"/>
    <x v="0"/>
    <n v="301983"/>
    <x v="85"/>
    <x v="0"/>
    <x v="0"/>
    <x v="1"/>
  </r>
  <r>
    <x v="1"/>
    <x v="0"/>
    <n v="213849"/>
    <x v="58"/>
    <x v="0"/>
    <x v="0"/>
    <x v="1"/>
  </r>
  <r>
    <x v="1"/>
    <x v="0"/>
    <n v="213849"/>
    <x v="58"/>
    <x v="2"/>
    <x v="2"/>
    <x v="1"/>
  </r>
  <r>
    <x v="1"/>
    <x v="0"/>
    <n v="300219"/>
    <x v="3"/>
    <x v="2"/>
    <x v="2"/>
    <x v="1"/>
  </r>
  <r>
    <x v="1"/>
    <x v="0"/>
    <n v="158751"/>
    <x v="54"/>
    <x v="0"/>
    <x v="0"/>
    <x v="1"/>
  </r>
  <r>
    <x v="1"/>
    <x v="0"/>
    <n v="158751"/>
    <x v="54"/>
    <x v="2"/>
    <x v="2"/>
    <x v="1"/>
  </r>
  <r>
    <x v="1"/>
    <x v="0"/>
    <n v="300987"/>
    <x v="59"/>
    <x v="0"/>
    <x v="0"/>
    <x v="1"/>
  </r>
  <r>
    <x v="1"/>
    <x v="0"/>
    <n v="300987"/>
    <x v="59"/>
    <x v="2"/>
    <x v="2"/>
    <x v="1"/>
  </r>
  <r>
    <x v="1"/>
    <x v="0"/>
    <n v="158311"/>
    <x v="60"/>
    <x v="0"/>
    <x v="0"/>
    <x v="1"/>
  </r>
  <r>
    <x v="1"/>
    <x v="0"/>
    <n v="218623"/>
    <x v="65"/>
    <x v="0"/>
    <x v="0"/>
    <x v="1"/>
  </r>
  <r>
    <x v="1"/>
    <x v="3"/>
    <n v="117866"/>
    <x v="87"/>
    <x v="1"/>
    <x v="1"/>
    <x v="1"/>
  </r>
  <r>
    <x v="1"/>
    <x v="4"/>
    <n v="161003"/>
    <x v="88"/>
    <x v="1"/>
    <x v="1"/>
    <x v="1"/>
  </r>
  <r>
    <x v="1"/>
    <x v="0"/>
    <n v="215020"/>
    <x v="72"/>
    <x v="1"/>
    <x v="1"/>
    <x v="1"/>
  </r>
  <r>
    <x v="1"/>
    <x v="0"/>
    <n v="158311"/>
    <x v="60"/>
    <x v="2"/>
    <x v="2"/>
    <x v="1"/>
  </r>
  <r>
    <x v="1"/>
    <x v="0"/>
    <n v="211415"/>
    <x v="50"/>
    <x v="0"/>
    <x v="0"/>
    <x v="1"/>
  </r>
  <r>
    <x v="1"/>
    <x v="0"/>
    <n v="211415"/>
    <x v="50"/>
    <x v="2"/>
    <x v="2"/>
    <x v="1"/>
  </r>
  <r>
    <x v="1"/>
    <x v="0"/>
    <n v="301805"/>
    <x v="64"/>
    <x v="2"/>
    <x v="2"/>
    <x v="1"/>
  </r>
  <r>
    <x v="1"/>
    <x v="0"/>
    <n v="301805"/>
    <x v="64"/>
    <x v="1"/>
    <x v="1"/>
    <x v="1"/>
  </r>
  <r>
    <x v="1"/>
    <x v="0"/>
    <n v="218623"/>
    <x v="65"/>
    <x v="2"/>
    <x v="2"/>
    <x v="1"/>
  </r>
  <r>
    <x v="1"/>
    <x v="0"/>
    <n v="218623"/>
    <x v="65"/>
    <x v="1"/>
    <x v="1"/>
    <x v="1"/>
  </r>
  <r>
    <x v="1"/>
    <x v="0"/>
    <n v="206348"/>
    <x v="4"/>
    <x v="2"/>
    <x v="2"/>
    <x v="1"/>
  </r>
  <r>
    <x v="1"/>
    <x v="0"/>
    <n v="300862"/>
    <x v="66"/>
    <x v="0"/>
    <x v="0"/>
    <x v="1"/>
  </r>
  <r>
    <x v="1"/>
    <x v="5"/>
    <n v="218628"/>
    <x v="76"/>
    <x v="0"/>
    <x v="0"/>
    <x v="1"/>
  </r>
  <r>
    <x v="1"/>
    <x v="3"/>
    <n v="117819"/>
    <x v="83"/>
    <x v="1"/>
    <x v="1"/>
    <x v="1"/>
  </r>
  <r>
    <x v="1"/>
    <x v="4"/>
    <n v="161520"/>
    <x v="77"/>
    <x v="1"/>
    <x v="1"/>
    <x v="1"/>
  </r>
  <r>
    <x v="1"/>
    <x v="0"/>
    <n v="300862"/>
    <x v="66"/>
    <x v="2"/>
    <x v="2"/>
    <x v="1"/>
  </r>
  <r>
    <x v="1"/>
    <x v="0"/>
    <n v="301983"/>
    <x v="85"/>
    <x v="1"/>
    <x v="1"/>
    <x v="1"/>
  </r>
  <r>
    <x v="1"/>
    <x v="0"/>
    <n v="302737"/>
    <x v="52"/>
    <x v="2"/>
    <x v="2"/>
    <x v="1"/>
  </r>
  <r>
    <x v="1"/>
    <x v="0"/>
    <n v="117442"/>
    <x v="68"/>
    <x v="0"/>
    <x v="0"/>
    <x v="1"/>
  </r>
  <r>
    <x v="1"/>
    <x v="0"/>
    <n v="117442"/>
    <x v="68"/>
    <x v="2"/>
    <x v="2"/>
    <x v="1"/>
  </r>
  <r>
    <x v="1"/>
    <x v="0"/>
    <n v="218210"/>
    <x v="69"/>
    <x v="2"/>
    <x v="2"/>
    <x v="1"/>
  </r>
  <r>
    <x v="1"/>
    <x v="4"/>
    <n v="300862"/>
    <x v="66"/>
    <x v="1"/>
    <x v="1"/>
    <x v="1"/>
  </r>
  <r>
    <x v="1"/>
    <x v="0"/>
    <n v="117501"/>
    <x v="84"/>
    <x v="1"/>
    <x v="1"/>
    <x v="1"/>
  </r>
  <r>
    <x v="1"/>
    <x v="0"/>
    <n v="218210"/>
    <x v="69"/>
    <x v="1"/>
    <x v="1"/>
    <x v="1"/>
  </r>
  <r>
    <x v="1"/>
    <x v="0"/>
    <n v="300571"/>
    <x v="18"/>
    <x v="2"/>
    <x v="2"/>
    <x v="1"/>
  </r>
  <r>
    <x v="1"/>
    <x v="0"/>
    <n v="206708"/>
    <x v="7"/>
    <x v="2"/>
    <x v="2"/>
    <x v="1"/>
  </r>
  <r>
    <x v="1"/>
    <x v="0"/>
    <n v="207743"/>
    <x v="20"/>
    <x v="2"/>
    <x v="2"/>
    <x v="1"/>
  </r>
  <r>
    <x v="1"/>
    <x v="3"/>
    <n v="168458"/>
    <x v="75"/>
    <x v="1"/>
    <x v="1"/>
    <x v="1"/>
  </r>
  <r>
    <x v="1"/>
    <x v="1"/>
    <n v="215020"/>
    <x v="72"/>
    <x v="0"/>
    <x v="0"/>
    <x v="1"/>
  </r>
  <r>
    <x v="1"/>
    <x v="0"/>
    <n v="215020"/>
    <x v="72"/>
    <x v="2"/>
    <x v="2"/>
    <x v="1"/>
  </r>
  <r>
    <x v="1"/>
    <x v="0"/>
    <n v="218225"/>
    <x v="1"/>
    <x v="0"/>
    <x v="0"/>
    <x v="1"/>
  </r>
  <r>
    <x v="1"/>
    <x v="0"/>
    <n v="218225"/>
    <x v="1"/>
    <x v="2"/>
    <x v="2"/>
    <x v="1"/>
  </r>
  <r>
    <x v="1"/>
    <x v="0"/>
    <n v="131643"/>
    <x v="0"/>
    <x v="0"/>
    <x v="0"/>
    <x v="1"/>
  </r>
  <r>
    <x v="1"/>
    <x v="0"/>
    <n v="131643"/>
    <x v="0"/>
    <x v="2"/>
    <x v="2"/>
    <x v="1"/>
  </r>
  <r>
    <x v="1"/>
    <x v="3"/>
    <n v="218628"/>
    <x v="76"/>
    <x v="1"/>
    <x v="1"/>
    <x v="1"/>
  </r>
  <r>
    <x v="1"/>
    <x v="0"/>
    <n v="117456"/>
    <x v="80"/>
    <x v="1"/>
    <x v="1"/>
    <x v="1"/>
  </r>
  <r>
    <x v="1"/>
    <x v="0"/>
    <n v="168458"/>
    <x v="75"/>
    <x v="0"/>
    <x v="0"/>
    <x v="1"/>
  </r>
  <r>
    <x v="1"/>
    <x v="0"/>
    <n v="168458"/>
    <x v="75"/>
    <x v="2"/>
    <x v="2"/>
    <x v="1"/>
  </r>
  <r>
    <x v="1"/>
    <x v="0"/>
    <n v="218628"/>
    <x v="76"/>
    <x v="2"/>
    <x v="2"/>
    <x v="1"/>
  </r>
  <r>
    <x v="1"/>
    <x v="0"/>
    <n v="161520"/>
    <x v="77"/>
    <x v="0"/>
    <x v="0"/>
    <x v="1"/>
  </r>
  <r>
    <x v="1"/>
    <x v="0"/>
    <n v="169537"/>
    <x v="81"/>
    <x v="1"/>
    <x v="1"/>
    <x v="1"/>
  </r>
  <r>
    <x v="1"/>
    <x v="0"/>
    <n v="161520"/>
    <x v="77"/>
    <x v="2"/>
    <x v="2"/>
    <x v="1"/>
  </r>
  <r>
    <x v="1"/>
    <x v="1"/>
    <n v="302335"/>
    <x v="70"/>
    <x v="0"/>
    <x v="0"/>
    <x v="1"/>
  </r>
  <r>
    <x v="1"/>
    <x v="0"/>
    <n v="205349"/>
    <x v="39"/>
    <x v="0"/>
    <x v="0"/>
    <x v="1"/>
  </r>
  <r>
    <x v="1"/>
    <x v="0"/>
    <n v="205349"/>
    <x v="39"/>
    <x v="2"/>
    <x v="2"/>
    <x v="1"/>
  </r>
  <r>
    <x v="1"/>
    <x v="0"/>
    <n v="117456"/>
    <x v="80"/>
    <x v="0"/>
    <x v="0"/>
    <x v="1"/>
  </r>
  <r>
    <x v="1"/>
    <x v="0"/>
    <n v="117456"/>
    <x v="80"/>
    <x v="2"/>
    <x v="2"/>
    <x v="1"/>
  </r>
  <r>
    <x v="1"/>
    <x v="0"/>
    <n v="300711"/>
    <x v="74"/>
    <x v="1"/>
    <x v="1"/>
    <x v="1"/>
  </r>
  <r>
    <x v="1"/>
    <x v="0"/>
    <n v="117442"/>
    <x v="68"/>
    <x v="1"/>
    <x v="1"/>
    <x v="1"/>
  </r>
  <r>
    <x v="1"/>
    <x v="0"/>
    <n v="210557"/>
    <x v="47"/>
    <x v="0"/>
    <x v="0"/>
    <x v="1"/>
  </r>
  <r>
    <x v="1"/>
    <x v="0"/>
    <n v="210557"/>
    <x v="47"/>
    <x v="2"/>
    <x v="2"/>
    <x v="1"/>
  </r>
  <r>
    <x v="1"/>
    <x v="0"/>
    <n v="300169"/>
    <x v="5"/>
    <x v="2"/>
    <x v="2"/>
    <x v="1"/>
  </r>
  <r>
    <x v="1"/>
    <x v="0"/>
    <n v="316646"/>
    <x v="6"/>
    <x v="2"/>
    <x v="2"/>
    <x v="1"/>
  </r>
  <r>
    <x v="1"/>
    <x v="0"/>
    <n v="169872"/>
    <x v="79"/>
    <x v="1"/>
    <x v="1"/>
    <x v="1"/>
  </r>
  <r>
    <x v="1"/>
    <x v="3"/>
    <n v="214951"/>
    <x v="78"/>
    <x v="1"/>
    <x v="1"/>
    <x v="1"/>
  </r>
  <r>
    <x v="1"/>
    <x v="0"/>
    <n v="117230"/>
    <x v="73"/>
    <x v="0"/>
    <x v="0"/>
    <x v="1"/>
  </r>
  <r>
    <x v="1"/>
    <x v="0"/>
    <n v="117230"/>
    <x v="73"/>
    <x v="2"/>
    <x v="2"/>
    <x v="1"/>
  </r>
  <r>
    <x v="1"/>
    <x v="0"/>
    <n v="211622"/>
    <x v="82"/>
    <x v="2"/>
    <x v="2"/>
    <x v="1"/>
  </r>
  <r>
    <x v="1"/>
    <x v="0"/>
    <n v="211622"/>
    <x v="82"/>
    <x v="1"/>
    <x v="1"/>
    <x v="1"/>
  </r>
  <r>
    <x v="1"/>
    <x v="0"/>
    <n v="311895"/>
    <x v="34"/>
    <x v="0"/>
    <x v="0"/>
    <x v="1"/>
  </r>
  <r>
    <x v="1"/>
    <x v="0"/>
    <n v="214951"/>
    <x v="78"/>
    <x v="0"/>
    <x v="0"/>
    <x v="1"/>
  </r>
  <r>
    <x v="1"/>
    <x v="0"/>
    <n v="204615"/>
    <x v="67"/>
    <x v="0"/>
    <x v="0"/>
    <x v="1"/>
  </r>
  <r>
    <x v="1"/>
    <x v="4"/>
    <n v="131643"/>
    <x v="0"/>
    <x v="1"/>
    <x v="1"/>
    <x v="1"/>
  </r>
  <r>
    <x v="1"/>
    <x v="0"/>
    <n v="203631"/>
    <x v="71"/>
    <x v="1"/>
    <x v="1"/>
    <x v="1"/>
  </r>
  <r>
    <x v="1"/>
    <x v="0"/>
    <n v="169872"/>
    <x v="79"/>
    <x v="0"/>
    <x v="0"/>
    <x v="1"/>
  </r>
  <r>
    <x v="1"/>
    <x v="0"/>
    <n v="169872"/>
    <x v="79"/>
    <x v="2"/>
    <x v="2"/>
    <x v="1"/>
  </r>
  <r>
    <x v="1"/>
    <x v="0"/>
    <n v="507"/>
    <x v="9"/>
    <x v="0"/>
    <x v="0"/>
    <x v="1"/>
  </r>
  <r>
    <x v="1"/>
    <x v="0"/>
    <n v="208277"/>
    <x v="25"/>
    <x v="2"/>
    <x v="2"/>
    <x v="1"/>
  </r>
  <r>
    <x v="1"/>
    <x v="0"/>
    <n v="302335"/>
    <x v="70"/>
    <x v="1"/>
    <x v="1"/>
    <x v="1"/>
  </r>
  <r>
    <x v="1"/>
    <x v="0"/>
    <n v="209208"/>
    <x v="30"/>
    <x v="0"/>
    <x v="0"/>
    <x v="1"/>
  </r>
  <r>
    <x v="1"/>
    <x v="0"/>
    <n v="209208"/>
    <x v="30"/>
    <x v="2"/>
    <x v="2"/>
    <x v="1"/>
  </r>
  <r>
    <x v="1"/>
    <x v="0"/>
    <n v="211470"/>
    <x v="53"/>
    <x v="0"/>
    <x v="0"/>
    <x v="1"/>
  </r>
  <r>
    <x v="1"/>
    <x v="0"/>
    <n v="211470"/>
    <x v="53"/>
    <x v="2"/>
    <x v="2"/>
    <x v="1"/>
  </r>
  <r>
    <x v="1"/>
    <x v="0"/>
    <n v="302856"/>
    <x v="46"/>
    <x v="2"/>
    <x v="2"/>
    <x v="1"/>
  </r>
  <r>
    <x v="1"/>
    <x v="0"/>
    <n v="302856"/>
    <x v="46"/>
    <x v="1"/>
    <x v="1"/>
    <x v="1"/>
  </r>
  <r>
    <x v="1"/>
    <x v="1"/>
    <n v="218644"/>
    <x v="63"/>
    <x v="0"/>
    <x v="0"/>
    <x v="1"/>
  </r>
  <r>
    <x v="1"/>
    <x v="0"/>
    <n v="300571"/>
    <x v="18"/>
    <x v="1"/>
    <x v="1"/>
    <x v="1"/>
  </r>
  <r>
    <x v="1"/>
    <x v="0"/>
    <n v="2737"/>
    <x v="62"/>
    <x v="1"/>
    <x v="1"/>
    <x v="1"/>
  </r>
  <r>
    <x v="1"/>
    <x v="0"/>
    <n v="686"/>
    <x v="26"/>
    <x v="0"/>
    <x v="0"/>
    <x v="1"/>
  </r>
  <r>
    <x v="1"/>
    <x v="4"/>
    <n v="204615"/>
    <x v="67"/>
    <x v="1"/>
    <x v="1"/>
    <x v="1"/>
  </r>
  <r>
    <x v="1"/>
    <x v="4"/>
    <n v="213849"/>
    <x v="58"/>
    <x v="1"/>
    <x v="1"/>
    <x v="1"/>
  </r>
  <r>
    <x v="1"/>
    <x v="0"/>
    <n v="686"/>
    <x v="26"/>
    <x v="2"/>
    <x v="2"/>
    <x v="1"/>
  </r>
  <r>
    <x v="1"/>
    <x v="0"/>
    <n v="117819"/>
    <x v="83"/>
    <x v="0"/>
    <x v="0"/>
    <x v="1"/>
  </r>
  <r>
    <x v="1"/>
    <x v="0"/>
    <n v="117819"/>
    <x v="83"/>
    <x v="2"/>
    <x v="2"/>
    <x v="1"/>
  </r>
  <r>
    <x v="1"/>
    <x v="0"/>
    <n v="218616"/>
    <x v="86"/>
    <x v="0"/>
    <x v="0"/>
    <x v="1"/>
  </r>
  <r>
    <x v="1"/>
    <x v="1"/>
    <n v="316879"/>
    <x v="2"/>
    <x v="0"/>
    <x v="0"/>
    <x v="1"/>
  </r>
  <r>
    <x v="1"/>
    <x v="0"/>
    <n v="302988"/>
    <x v="45"/>
    <x v="0"/>
    <x v="0"/>
    <x v="1"/>
  </r>
  <r>
    <x v="1"/>
    <x v="0"/>
    <n v="209211"/>
    <x v="33"/>
    <x v="0"/>
    <x v="0"/>
    <x v="1"/>
  </r>
  <r>
    <x v="1"/>
    <x v="0"/>
    <n v="209211"/>
    <x v="33"/>
    <x v="2"/>
    <x v="2"/>
    <x v="1"/>
  </r>
  <r>
    <x v="1"/>
    <x v="0"/>
    <n v="312617"/>
    <x v="24"/>
    <x v="2"/>
    <x v="2"/>
    <x v="1"/>
  </r>
  <r>
    <x v="1"/>
    <x v="0"/>
    <n v="2737"/>
    <x v="62"/>
    <x v="0"/>
    <x v="0"/>
    <x v="1"/>
  </r>
  <r>
    <x v="1"/>
    <x v="0"/>
    <n v="300711"/>
    <x v="74"/>
    <x v="0"/>
    <x v="0"/>
    <x v="1"/>
  </r>
  <r>
    <x v="1"/>
    <x v="0"/>
    <n v="204939"/>
    <x v="61"/>
    <x v="1"/>
    <x v="1"/>
    <x v="1"/>
  </r>
  <r>
    <x v="1"/>
    <x v="0"/>
    <n v="211622"/>
    <x v="82"/>
    <x v="0"/>
    <x v="0"/>
    <x v="1"/>
  </r>
  <r>
    <x v="1"/>
    <x v="0"/>
    <n v="300711"/>
    <x v="74"/>
    <x v="2"/>
    <x v="2"/>
    <x v="1"/>
  </r>
  <r>
    <x v="1"/>
    <x v="0"/>
    <n v="301760"/>
    <x v="89"/>
    <x v="2"/>
    <x v="2"/>
    <x v="1"/>
  </r>
  <r>
    <x v="1"/>
    <x v="0"/>
    <n v="316879"/>
    <x v="2"/>
    <x v="2"/>
    <x v="2"/>
    <x v="1"/>
  </r>
  <r>
    <x v="1"/>
    <x v="0"/>
    <n v="316879"/>
    <x v="2"/>
    <x v="1"/>
    <x v="1"/>
    <x v="1"/>
  </r>
  <r>
    <x v="1"/>
    <x v="0"/>
    <n v="118535"/>
    <x v="90"/>
    <x v="0"/>
    <x v="0"/>
    <x v="1"/>
  </r>
  <r>
    <x v="1"/>
    <x v="0"/>
    <n v="118535"/>
    <x v="90"/>
    <x v="2"/>
    <x v="2"/>
    <x v="1"/>
  </r>
  <r>
    <x v="1"/>
    <x v="0"/>
    <n v="120762"/>
    <x v="103"/>
    <x v="2"/>
    <x v="2"/>
    <x v="1"/>
  </r>
  <r>
    <x v="1"/>
    <x v="0"/>
    <n v="302769"/>
    <x v="49"/>
    <x v="0"/>
    <x v="0"/>
    <x v="1"/>
  </r>
  <r>
    <x v="1"/>
    <x v="0"/>
    <n v="302769"/>
    <x v="49"/>
    <x v="2"/>
    <x v="2"/>
    <x v="1"/>
  </r>
  <r>
    <x v="1"/>
    <x v="3"/>
    <n v="218644"/>
    <x v="63"/>
    <x v="1"/>
    <x v="1"/>
    <x v="1"/>
  </r>
  <r>
    <x v="1"/>
    <x v="0"/>
    <n v="1733"/>
    <x v="37"/>
    <x v="1"/>
    <x v="1"/>
    <x v="1"/>
  </r>
  <r>
    <x v="1"/>
    <x v="0"/>
    <n v="204952"/>
    <x v="56"/>
    <x v="1"/>
    <x v="1"/>
    <x v="1"/>
  </r>
  <r>
    <x v="1"/>
    <x v="0"/>
    <n v="303221"/>
    <x v="38"/>
    <x v="0"/>
    <x v="0"/>
    <x v="1"/>
  </r>
  <r>
    <x v="1"/>
    <x v="0"/>
    <n v="302737"/>
    <x v="52"/>
    <x v="0"/>
    <x v="0"/>
    <x v="1"/>
  </r>
  <r>
    <x v="1"/>
    <x v="0"/>
    <n v="303221"/>
    <x v="38"/>
    <x v="2"/>
    <x v="2"/>
    <x v="1"/>
  </r>
  <r>
    <x v="1"/>
    <x v="0"/>
    <n v="312807"/>
    <x v="21"/>
    <x v="2"/>
    <x v="2"/>
    <x v="1"/>
  </r>
  <r>
    <x v="1"/>
    <x v="0"/>
    <n v="312807"/>
    <x v="21"/>
    <x v="1"/>
    <x v="1"/>
    <x v="1"/>
  </r>
  <r>
    <x v="1"/>
    <x v="0"/>
    <n v="210001"/>
    <x v="36"/>
    <x v="2"/>
    <x v="2"/>
    <x v="1"/>
  </r>
  <r>
    <x v="1"/>
    <x v="0"/>
    <n v="301920"/>
    <x v="91"/>
    <x v="0"/>
    <x v="0"/>
    <x v="1"/>
  </r>
  <r>
    <x v="1"/>
    <x v="4"/>
    <n v="211470"/>
    <x v="53"/>
    <x v="1"/>
    <x v="1"/>
    <x v="1"/>
  </r>
  <r>
    <x v="1"/>
    <x v="0"/>
    <n v="301920"/>
    <x v="91"/>
    <x v="2"/>
    <x v="2"/>
    <x v="1"/>
  </r>
  <r>
    <x v="1"/>
    <x v="0"/>
    <n v="300363"/>
    <x v="11"/>
    <x v="2"/>
    <x v="2"/>
    <x v="1"/>
  </r>
  <r>
    <x v="1"/>
    <x v="3"/>
    <n v="302737"/>
    <x v="52"/>
    <x v="1"/>
    <x v="1"/>
    <x v="1"/>
  </r>
  <r>
    <x v="1"/>
    <x v="0"/>
    <n v="211415"/>
    <x v="50"/>
    <x v="1"/>
    <x v="1"/>
    <x v="1"/>
  </r>
  <r>
    <x v="1"/>
    <x v="0"/>
    <n v="300363"/>
    <x v="11"/>
    <x v="1"/>
    <x v="1"/>
    <x v="1"/>
  </r>
  <r>
    <x v="1"/>
    <x v="5"/>
    <n v="205104"/>
    <x v="51"/>
    <x v="1"/>
    <x v="1"/>
    <x v="1"/>
  </r>
  <r>
    <x v="1"/>
    <x v="0"/>
    <n v="144154"/>
    <x v="93"/>
    <x v="0"/>
    <x v="0"/>
    <x v="1"/>
  </r>
  <r>
    <x v="1"/>
    <x v="5"/>
    <n v="218674"/>
    <x v="57"/>
    <x v="1"/>
    <x v="1"/>
    <x v="1"/>
  </r>
  <r>
    <x v="1"/>
    <x v="4"/>
    <n v="302769"/>
    <x v="49"/>
    <x v="1"/>
    <x v="1"/>
    <x v="1"/>
  </r>
  <r>
    <x v="1"/>
    <x v="2"/>
    <n v="210557"/>
    <x v="47"/>
    <x v="1"/>
    <x v="1"/>
    <x v="1"/>
  </r>
  <r>
    <x v="1"/>
    <x v="4"/>
    <n v="1733"/>
    <x v="37"/>
    <x v="2"/>
    <x v="2"/>
    <x v="1"/>
  </r>
  <r>
    <x v="1"/>
    <x v="1"/>
    <n v="324108"/>
    <x v="35"/>
    <x v="1"/>
    <x v="1"/>
    <x v="1"/>
  </r>
  <r>
    <x v="1"/>
    <x v="0"/>
    <n v="144154"/>
    <x v="93"/>
    <x v="2"/>
    <x v="2"/>
    <x v="1"/>
  </r>
  <r>
    <x v="1"/>
    <x v="0"/>
    <n v="303189"/>
    <x v="42"/>
    <x v="0"/>
    <x v="0"/>
    <x v="1"/>
  </r>
  <r>
    <x v="1"/>
    <x v="0"/>
    <n v="302856"/>
    <x v="46"/>
    <x v="0"/>
    <x v="0"/>
    <x v="1"/>
  </r>
  <r>
    <x v="1"/>
    <x v="0"/>
    <n v="210515"/>
    <x v="43"/>
    <x v="1"/>
    <x v="1"/>
    <x v="1"/>
  </r>
  <r>
    <x v="1"/>
    <x v="0"/>
    <n v="303189"/>
    <x v="42"/>
    <x v="2"/>
    <x v="2"/>
    <x v="1"/>
  </r>
  <r>
    <x v="1"/>
    <x v="0"/>
    <n v="303219"/>
    <x v="40"/>
    <x v="0"/>
    <x v="0"/>
    <x v="1"/>
  </r>
  <r>
    <x v="1"/>
    <x v="0"/>
    <n v="303219"/>
    <x v="40"/>
    <x v="2"/>
    <x v="2"/>
    <x v="1"/>
  </r>
  <r>
    <x v="1"/>
    <x v="0"/>
    <n v="205228"/>
    <x v="44"/>
    <x v="1"/>
    <x v="1"/>
    <x v="1"/>
  </r>
  <r>
    <x v="1"/>
    <x v="3"/>
    <n v="302988"/>
    <x v="45"/>
    <x v="1"/>
    <x v="1"/>
    <x v="1"/>
  </r>
  <r>
    <x v="1"/>
    <x v="0"/>
    <n v="210515"/>
    <x v="43"/>
    <x v="0"/>
    <x v="0"/>
    <x v="1"/>
  </r>
  <r>
    <x v="1"/>
    <x v="0"/>
    <n v="317470"/>
    <x v="10"/>
    <x v="2"/>
    <x v="2"/>
    <x v="1"/>
  </r>
  <r>
    <x v="1"/>
    <x v="0"/>
    <n v="301809"/>
    <x v="95"/>
    <x v="2"/>
    <x v="2"/>
    <x v="1"/>
  </r>
  <r>
    <x v="1"/>
    <x v="0"/>
    <n v="303189"/>
    <x v="42"/>
    <x v="1"/>
    <x v="1"/>
    <x v="1"/>
  </r>
  <r>
    <x v="1"/>
    <x v="1"/>
    <n v="324108"/>
    <x v="35"/>
    <x v="2"/>
    <x v="2"/>
    <x v="1"/>
  </r>
  <r>
    <x v="1"/>
    <x v="0"/>
    <n v="301809"/>
    <x v="95"/>
    <x v="1"/>
    <x v="1"/>
    <x v="1"/>
  </r>
  <r>
    <x v="1"/>
    <x v="3"/>
    <n v="210127"/>
    <x v="41"/>
    <x v="1"/>
    <x v="1"/>
    <x v="1"/>
  </r>
  <r>
    <x v="1"/>
    <x v="0"/>
    <n v="117501"/>
    <x v="84"/>
    <x v="0"/>
    <x v="0"/>
    <x v="1"/>
  </r>
  <r>
    <x v="1"/>
    <x v="0"/>
    <n v="117501"/>
    <x v="84"/>
    <x v="2"/>
    <x v="2"/>
    <x v="1"/>
  </r>
  <r>
    <x v="1"/>
    <x v="3"/>
    <n v="303219"/>
    <x v="40"/>
    <x v="1"/>
    <x v="1"/>
    <x v="1"/>
  </r>
  <r>
    <x v="1"/>
    <x v="0"/>
    <n v="210001"/>
    <x v="36"/>
    <x v="1"/>
    <x v="1"/>
    <x v="1"/>
  </r>
  <r>
    <x v="1"/>
    <x v="0"/>
    <n v="218698"/>
    <x v="48"/>
    <x v="1"/>
    <x v="1"/>
    <x v="1"/>
  </r>
  <r>
    <x v="1"/>
    <x v="3"/>
    <n v="205349"/>
    <x v="39"/>
    <x v="1"/>
    <x v="1"/>
    <x v="1"/>
  </r>
  <r>
    <x v="1"/>
    <x v="0"/>
    <n v="300571"/>
    <x v="18"/>
    <x v="0"/>
    <x v="0"/>
    <x v="1"/>
  </r>
  <r>
    <x v="1"/>
    <x v="0"/>
    <n v="1733"/>
    <x v="37"/>
    <x v="0"/>
    <x v="0"/>
    <x v="1"/>
  </r>
  <r>
    <x v="1"/>
    <x v="5"/>
    <n v="303221"/>
    <x v="38"/>
    <x v="1"/>
    <x v="1"/>
    <x v="1"/>
  </r>
  <r>
    <x v="1"/>
    <x v="0"/>
    <n v="210001"/>
    <x v="36"/>
    <x v="0"/>
    <x v="0"/>
    <x v="1"/>
  </r>
  <r>
    <x v="1"/>
    <x v="0"/>
    <n v="130744"/>
    <x v="97"/>
    <x v="2"/>
    <x v="2"/>
    <x v="1"/>
  </r>
  <r>
    <x v="1"/>
    <x v="1"/>
    <n v="324108"/>
    <x v="35"/>
    <x v="0"/>
    <x v="0"/>
    <x v="1"/>
  </r>
  <r>
    <x v="1"/>
    <x v="0"/>
    <n v="204939"/>
    <x v="61"/>
    <x v="0"/>
    <x v="0"/>
    <x v="1"/>
  </r>
  <r>
    <x v="1"/>
    <x v="0"/>
    <n v="204939"/>
    <x v="61"/>
    <x v="2"/>
    <x v="2"/>
    <x v="1"/>
  </r>
  <r>
    <x v="1"/>
    <x v="0"/>
    <n v="311895"/>
    <x v="34"/>
    <x v="1"/>
    <x v="1"/>
    <x v="1"/>
  </r>
  <r>
    <x v="1"/>
    <x v="0"/>
    <n v="209211"/>
    <x v="33"/>
    <x v="1"/>
    <x v="1"/>
    <x v="1"/>
  </r>
  <r>
    <x v="1"/>
    <x v="0"/>
    <n v="323608"/>
    <x v="31"/>
    <x v="1"/>
    <x v="1"/>
    <x v="1"/>
  </r>
  <r>
    <x v="1"/>
    <x v="0"/>
    <n v="216566"/>
    <x v="96"/>
    <x v="0"/>
    <x v="0"/>
    <x v="1"/>
  </r>
  <r>
    <x v="1"/>
    <x v="3"/>
    <n v="205985"/>
    <x v="27"/>
    <x v="0"/>
    <x v="0"/>
    <x v="1"/>
  </r>
  <r>
    <x v="1"/>
    <x v="0"/>
    <n v="216566"/>
    <x v="96"/>
    <x v="2"/>
    <x v="2"/>
    <x v="1"/>
  </r>
  <r>
    <x v="1"/>
    <x v="0"/>
    <n v="2737"/>
    <x v="62"/>
    <x v="2"/>
    <x v="2"/>
    <x v="1"/>
  </r>
  <r>
    <x v="1"/>
    <x v="0"/>
    <n v="302335"/>
    <x v="70"/>
    <x v="2"/>
    <x v="2"/>
    <x v="1"/>
  </r>
  <r>
    <x v="1"/>
    <x v="4"/>
    <n v="209209"/>
    <x v="32"/>
    <x v="1"/>
    <x v="1"/>
    <x v="1"/>
  </r>
  <r>
    <x v="1"/>
    <x v="0"/>
    <n v="301229"/>
    <x v="98"/>
    <x v="2"/>
    <x v="2"/>
    <x v="1"/>
  </r>
  <r>
    <x v="1"/>
    <x v="0"/>
    <n v="312259"/>
    <x v="28"/>
    <x v="0"/>
    <x v="0"/>
    <x v="1"/>
  </r>
  <r>
    <x v="1"/>
    <x v="0"/>
    <n v="323608"/>
    <x v="31"/>
    <x v="0"/>
    <x v="0"/>
    <x v="1"/>
  </r>
  <r>
    <x v="1"/>
    <x v="0"/>
    <n v="301229"/>
    <x v="98"/>
    <x v="1"/>
    <x v="1"/>
    <x v="1"/>
  </r>
  <r>
    <x v="1"/>
    <x v="0"/>
    <n v="209208"/>
    <x v="30"/>
    <x v="1"/>
    <x v="1"/>
    <x v="1"/>
  </r>
  <r>
    <x v="1"/>
    <x v="0"/>
    <n v="218698"/>
    <x v="48"/>
    <x v="0"/>
    <x v="0"/>
    <x v="1"/>
  </r>
  <r>
    <x v="1"/>
    <x v="0"/>
    <n v="218732"/>
    <x v="29"/>
    <x v="1"/>
    <x v="1"/>
    <x v="1"/>
  </r>
  <r>
    <x v="1"/>
    <x v="0"/>
    <n v="312259"/>
    <x v="28"/>
    <x v="1"/>
    <x v="1"/>
    <x v="1"/>
  </r>
  <r>
    <x v="1"/>
    <x v="0"/>
    <n v="686"/>
    <x v="26"/>
    <x v="1"/>
    <x v="1"/>
    <x v="1"/>
  </r>
  <r>
    <x v="1"/>
    <x v="0"/>
    <n v="205985"/>
    <x v="27"/>
    <x v="1"/>
    <x v="1"/>
    <x v="1"/>
  </r>
  <r>
    <x v="1"/>
    <x v="0"/>
    <n v="208277"/>
    <x v="25"/>
    <x v="1"/>
    <x v="1"/>
    <x v="1"/>
  </r>
  <r>
    <x v="1"/>
    <x v="0"/>
    <n v="218698"/>
    <x v="48"/>
    <x v="2"/>
    <x v="2"/>
    <x v="1"/>
  </r>
  <r>
    <x v="1"/>
    <x v="0"/>
    <n v="140302"/>
    <x v="100"/>
    <x v="0"/>
    <x v="0"/>
    <x v="1"/>
  </r>
  <r>
    <x v="1"/>
    <x v="0"/>
    <n v="312617"/>
    <x v="24"/>
    <x v="0"/>
    <x v="0"/>
    <x v="1"/>
  </r>
  <r>
    <x v="1"/>
    <x v="0"/>
    <n v="208277"/>
    <x v="25"/>
    <x v="0"/>
    <x v="0"/>
    <x v="1"/>
  </r>
  <r>
    <x v="1"/>
    <x v="0"/>
    <n v="140302"/>
    <x v="100"/>
    <x v="2"/>
    <x v="2"/>
    <x v="1"/>
  </r>
  <r>
    <x v="1"/>
    <x v="0"/>
    <n v="315199"/>
    <x v="15"/>
    <x v="0"/>
    <x v="0"/>
    <x v="1"/>
  </r>
  <r>
    <x v="1"/>
    <x v="0"/>
    <n v="321932"/>
    <x v="23"/>
    <x v="0"/>
    <x v="0"/>
    <x v="1"/>
  </r>
  <r>
    <x v="1"/>
    <x v="0"/>
    <n v="315199"/>
    <x v="15"/>
    <x v="2"/>
    <x v="2"/>
    <x v="1"/>
  </r>
  <r>
    <x v="1"/>
    <x v="0"/>
    <n v="312617"/>
    <x v="24"/>
    <x v="1"/>
    <x v="1"/>
    <x v="1"/>
  </r>
  <r>
    <x v="1"/>
    <x v="3"/>
    <n v="207743"/>
    <x v="20"/>
    <x v="1"/>
    <x v="1"/>
    <x v="1"/>
  </r>
  <r>
    <x v="1"/>
    <x v="0"/>
    <n v="218402"/>
    <x v="101"/>
    <x v="0"/>
    <x v="0"/>
    <x v="1"/>
  </r>
  <r>
    <x v="1"/>
    <x v="0"/>
    <n v="218402"/>
    <x v="101"/>
    <x v="2"/>
    <x v="2"/>
    <x v="1"/>
  </r>
  <r>
    <x v="1"/>
    <x v="3"/>
    <n v="206236"/>
    <x v="22"/>
    <x v="1"/>
    <x v="1"/>
    <x v="1"/>
  </r>
  <r>
    <x v="1"/>
    <x v="0"/>
    <n v="301983"/>
    <x v="85"/>
    <x v="2"/>
    <x v="2"/>
    <x v="1"/>
  </r>
  <r>
    <x v="1"/>
    <x v="0"/>
    <n v="312807"/>
    <x v="21"/>
    <x v="0"/>
    <x v="0"/>
    <x v="1"/>
  </r>
  <r>
    <x v="1"/>
    <x v="0"/>
    <n v="207743"/>
    <x v="20"/>
    <x v="0"/>
    <x v="0"/>
    <x v="1"/>
  </r>
  <r>
    <x v="1"/>
    <x v="0"/>
    <n v="311895"/>
    <x v="34"/>
    <x v="2"/>
    <x v="2"/>
    <x v="1"/>
  </r>
  <r>
    <x v="1"/>
    <x v="0"/>
    <n v="302988"/>
    <x v="45"/>
    <x v="2"/>
    <x v="2"/>
    <x v="1"/>
  </r>
  <r>
    <x v="1"/>
    <x v="1"/>
    <n v="314137"/>
    <x v="19"/>
    <x v="0"/>
    <x v="0"/>
    <x v="1"/>
  </r>
  <r>
    <x v="1"/>
    <x v="3"/>
    <n v="207404"/>
    <x v="16"/>
    <x v="1"/>
    <x v="1"/>
    <x v="1"/>
  </r>
  <r>
    <x v="1"/>
    <x v="0"/>
    <n v="317470"/>
    <x v="10"/>
    <x v="1"/>
    <x v="1"/>
    <x v="1"/>
  </r>
  <r>
    <x v="1"/>
    <x v="3"/>
    <n v="507"/>
    <x v="9"/>
    <x v="1"/>
    <x v="1"/>
    <x v="1"/>
  </r>
  <r>
    <x v="1"/>
    <x v="0"/>
    <n v="218644"/>
    <x v="63"/>
    <x v="2"/>
    <x v="2"/>
    <x v="1"/>
  </r>
  <r>
    <x v="1"/>
    <x v="0"/>
    <n v="205985"/>
    <x v="27"/>
    <x v="2"/>
    <x v="2"/>
    <x v="1"/>
  </r>
  <r>
    <x v="1"/>
    <x v="0"/>
    <n v="218916"/>
    <x v="17"/>
    <x v="1"/>
    <x v="1"/>
    <x v="1"/>
  </r>
  <r>
    <x v="1"/>
    <x v="0"/>
    <n v="206298"/>
    <x v="14"/>
    <x v="1"/>
    <x v="1"/>
    <x v="1"/>
  </r>
  <r>
    <x v="1"/>
    <x v="3"/>
    <n v="315199"/>
    <x v="15"/>
    <x v="1"/>
    <x v="1"/>
    <x v="1"/>
  </r>
  <r>
    <x v="1"/>
    <x v="0"/>
    <n v="206968"/>
    <x v="12"/>
    <x v="0"/>
    <x v="0"/>
    <x v="1"/>
  </r>
  <r>
    <x v="1"/>
    <x v="1"/>
    <n v="218987"/>
    <x v="8"/>
    <x v="0"/>
    <x v="0"/>
    <x v="1"/>
  </r>
  <r>
    <x v="1"/>
    <x v="0"/>
    <n v="206708"/>
    <x v="7"/>
    <x v="1"/>
    <x v="1"/>
    <x v="1"/>
  </r>
  <r>
    <x v="1"/>
    <x v="4"/>
    <n v="300363"/>
    <x v="11"/>
    <x v="0"/>
    <x v="0"/>
    <x v="1"/>
  </r>
  <r>
    <x v="1"/>
    <x v="1"/>
    <n v="218987"/>
    <x v="8"/>
    <x v="2"/>
    <x v="2"/>
    <x v="1"/>
  </r>
  <r>
    <x v="1"/>
    <x v="0"/>
    <n v="316646"/>
    <x v="6"/>
    <x v="0"/>
    <x v="0"/>
    <x v="1"/>
  </r>
  <r>
    <x v="1"/>
    <x v="0"/>
    <n v="206708"/>
    <x v="7"/>
    <x v="0"/>
    <x v="0"/>
    <x v="1"/>
  </r>
  <r>
    <x v="1"/>
    <x v="0"/>
    <n v="317470"/>
    <x v="10"/>
    <x v="0"/>
    <x v="0"/>
    <x v="1"/>
  </r>
  <r>
    <x v="1"/>
    <x v="3"/>
    <n v="507"/>
    <x v="9"/>
    <x v="2"/>
    <x v="2"/>
    <x v="1"/>
  </r>
  <r>
    <x v="1"/>
    <x v="3"/>
    <n v="218987"/>
    <x v="8"/>
    <x v="1"/>
    <x v="1"/>
    <x v="1"/>
  </r>
  <r>
    <x v="1"/>
    <x v="0"/>
    <n v="300169"/>
    <x v="5"/>
    <x v="0"/>
    <x v="0"/>
    <x v="1"/>
  </r>
  <r>
    <x v="1"/>
    <x v="0"/>
    <n v="206348"/>
    <x v="4"/>
    <x v="0"/>
    <x v="0"/>
    <x v="1"/>
  </r>
  <r>
    <x v="1"/>
    <x v="0"/>
    <n v="300219"/>
    <x v="3"/>
    <x v="1"/>
    <x v="1"/>
    <x v="1"/>
  </r>
  <r>
    <x v="1"/>
    <x v="0"/>
    <n v="316646"/>
    <x v="6"/>
    <x v="1"/>
    <x v="1"/>
    <x v="1"/>
  </r>
  <r>
    <x v="1"/>
    <x v="0"/>
    <n v="206348"/>
    <x v="4"/>
    <x v="1"/>
    <x v="1"/>
    <x v="1"/>
  </r>
  <r>
    <x v="1"/>
    <x v="0"/>
    <n v="300169"/>
    <x v="5"/>
    <x v="1"/>
    <x v="1"/>
    <x v="1"/>
  </r>
  <r>
    <x v="1"/>
    <x v="0"/>
    <n v="300219"/>
    <x v="3"/>
    <x v="0"/>
    <x v="0"/>
    <x v="1"/>
  </r>
  <r>
    <x v="2"/>
    <x v="0"/>
    <n v="316879"/>
    <x v="2"/>
    <x v="2"/>
    <x v="2"/>
    <x v="2"/>
  </r>
  <r>
    <x v="2"/>
    <x v="0"/>
    <n v="316879"/>
    <x v="2"/>
    <x v="1"/>
    <x v="1"/>
    <x v="2"/>
  </r>
  <r>
    <x v="2"/>
    <x v="0"/>
    <n v="300219"/>
    <x v="3"/>
    <x v="0"/>
    <x v="0"/>
    <x v="2"/>
  </r>
  <r>
    <x v="2"/>
    <x v="1"/>
    <n v="316879"/>
    <x v="2"/>
    <x v="0"/>
    <x v="0"/>
    <x v="2"/>
  </r>
  <r>
    <x v="2"/>
    <x v="0"/>
    <n v="507"/>
    <x v="9"/>
    <x v="0"/>
    <x v="0"/>
    <x v="2"/>
  </r>
  <r>
    <x v="2"/>
    <x v="0"/>
    <n v="301760"/>
    <x v="89"/>
    <x v="2"/>
    <x v="2"/>
    <x v="2"/>
  </r>
  <r>
    <x v="2"/>
    <x v="0"/>
    <n v="118535"/>
    <x v="90"/>
    <x v="0"/>
    <x v="0"/>
    <x v="2"/>
  </r>
  <r>
    <x v="2"/>
    <x v="0"/>
    <n v="300711"/>
    <x v="74"/>
    <x v="2"/>
    <x v="2"/>
    <x v="2"/>
  </r>
  <r>
    <x v="2"/>
    <x v="0"/>
    <n v="300711"/>
    <x v="74"/>
    <x v="0"/>
    <x v="0"/>
    <x v="2"/>
  </r>
  <r>
    <x v="2"/>
    <x v="0"/>
    <n v="206348"/>
    <x v="4"/>
    <x v="1"/>
    <x v="1"/>
    <x v="2"/>
  </r>
  <r>
    <x v="2"/>
    <x v="0"/>
    <n v="300169"/>
    <x v="5"/>
    <x v="1"/>
    <x v="1"/>
    <x v="2"/>
  </r>
  <r>
    <x v="2"/>
    <x v="0"/>
    <n v="118535"/>
    <x v="90"/>
    <x v="2"/>
    <x v="2"/>
    <x v="2"/>
  </r>
  <r>
    <x v="2"/>
    <x v="0"/>
    <n v="120762"/>
    <x v="103"/>
    <x v="2"/>
    <x v="2"/>
    <x v="2"/>
  </r>
  <r>
    <x v="2"/>
    <x v="0"/>
    <n v="303221"/>
    <x v="38"/>
    <x v="0"/>
    <x v="0"/>
    <x v="2"/>
  </r>
  <r>
    <x v="2"/>
    <x v="0"/>
    <n v="303221"/>
    <x v="38"/>
    <x v="2"/>
    <x v="2"/>
    <x v="2"/>
  </r>
  <r>
    <x v="2"/>
    <x v="0"/>
    <n v="312807"/>
    <x v="21"/>
    <x v="2"/>
    <x v="2"/>
    <x v="2"/>
  </r>
  <r>
    <x v="2"/>
    <x v="0"/>
    <n v="218225"/>
    <x v="1"/>
    <x v="2"/>
    <x v="2"/>
    <x v="2"/>
  </r>
  <r>
    <x v="2"/>
    <x v="0"/>
    <n v="316646"/>
    <x v="6"/>
    <x v="1"/>
    <x v="1"/>
    <x v="2"/>
  </r>
  <r>
    <x v="2"/>
    <x v="0"/>
    <n v="218225"/>
    <x v="1"/>
    <x v="0"/>
    <x v="0"/>
    <x v="2"/>
  </r>
  <r>
    <x v="2"/>
    <x v="0"/>
    <n v="206348"/>
    <x v="4"/>
    <x v="0"/>
    <x v="0"/>
    <x v="2"/>
  </r>
  <r>
    <x v="2"/>
    <x v="0"/>
    <n v="312807"/>
    <x v="21"/>
    <x v="1"/>
    <x v="1"/>
    <x v="2"/>
  </r>
  <r>
    <x v="2"/>
    <x v="0"/>
    <n v="312617"/>
    <x v="24"/>
    <x v="2"/>
    <x v="2"/>
    <x v="2"/>
  </r>
  <r>
    <x v="2"/>
    <x v="0"/>
    <n v="317470"/>
    <x v="10"/>
    <x v="0"/>
    <x v="0"/>
    <x v="2"/>
  </r>
  <r>
    <x v="2"/>
    <x v="0"/>
    <n v="206708"/>
    <x v="7"/>
    <x v="0"/>
    <x v="0"/>
    <x v="2"/>
  </r>
  <r>
    <x v="2"/>
    <x v="0"/>
    <n v="300571"/>
    <x v="18"/>
    <x v="2"/>
    <x v="2"/>
    <x v="2"/>
  </r>
  <r>
    <x v="2"/>
    <x v="0"/>
    <n v="210001"/>
    <x v="36"/>
    <x v="2"/>
    <x v="2"/>
    <x v="2"/>
  </r>
  <r>
    <x v="2"/>
    <x v="0"/>
    <n v="301920"/>
    <x v="91"/>
    <x v="0"/>
    <x v="0"/>
    <x v="2"/>
  </r>
  <r>
    <x v="2"/>
    <x v="0"/>
    <n v="301920"/>
    <x v="91"/>
    <x v="2"/>
    <x v="2"/>
    <x v="2"/>
  </r>
  <r>
    <x v="2"/>
    <x v="0"/>
    <n v="302769"/>
    <x v="49"/>
    <x v="0"/>
    <x v="0"/>
    <x v="2"/>
  </r>
  <r>
    <x v="2"/>
    <x v="0"/>
    <n v="302769"/>
    <x v="49"/>
    <x v="2"/>
    <x v="2"/>
    <x v="2"/>
  </r>
  <r>
    <x v="2"/>
    <x v="0"/>
    <n v="207743"/>
    <x v="20"/>
    <x v="2"/>
    <x v="2"/>
    <x v="2"/>
  </r>
  <r>
    <x v="2"/>
    <x v="0"/>
    <n v="316646"/>
    <x v="6"/>
    <x v="0"/>
    <x v="0"/>
    <x v="2"/>
  </r>
  <r>
    <x v="2"/>
    <x v="2"/>
    <n v="300219"/>
    <x v="3"/>
    <x v="1"/>
    <x v="1"/>
    <x v="2"/>
  </r>
  <r>
    <x v="2"/>
    <x v="0"/>
    <n v="209211"/>
    <x v="33"/>
    <x v="2"/>
    <x v="2"/>
    <x v="2"/>
  </r>
  <r>
    <x v="2"/>
    <x v="0"/>
    <n v="209211"/>
    <x v="33"/>
    <x v="0"/>
    <x v="0"/>
    <x v="2"/>
  </r>
  <r>
    <x v="2"/>
    <x v="0"/>
    <n v="323608"/>
    <x v="31"/>
    <x v="2"/>
    <x v="2"/>
    <x v="2"/>
  </r>
  <r>
    <x v="2"/>
    <x v="0"/>
    <n v="206708"/>
    <x v="7"/>
    <x v="1"/>
    <x v="1"/>
    <x v="2"/>
  </r>
  <r>
    <x v="2"/>
    <x v="0"/>
    <n v="300169"/>
    <x v="5"/>
    <x v="0"/>
    <x v="0"/>
    <x v="2"/>
  </r>
  <r>
    <x v="2"/>
    <x v="0"/>
    <n v="300363"/>
    <x v="11"/>
    <x v="2"/>
    <x v="2"/>
    <x v="2"/>
  </r>
  <r>
    <x v="2"/>
    <x v="0"/>
    <n v="300363"/>
    <x v="11"/>
    <x v="1"/>
    <x v="1"/>
    <x v="2"/>
  </r>
  <r>
    <x v="2"/>
    <x v="0"/>
    <n v="144154"/>
    <x v="93"/>
    <x v="0"/>
    <x v="0"/>
    <x v="2"/>
  </r>
  <r>
    <x v="2"/>
    <x v="0"/>
    <n v="144154"/>
    <x v="93"/>
    <x v="2"/>
    <x v="2"/>
    <x v="2"/>
  </r>
  <r>
    <x v="2"/>
    <x v="0"/>
    <n v="303219"/>
    <x v="40"/>
    <x v="0"/>
    <x v="0"/>
    <x v="2"/>
  </r>
  <r>
    <x v="2"/>
    <x v="0"/>
    <n v="303219"/>
    <x v="40"/>
    <x v="2"/>
    <x v="2"/>
    <x v="2"/>
  </r>
  <r>
    <x v="2"/>
    <x v="0"/>
    <n v="317470"/>
    <x v="10"/>
    <x v="2"/>
    <x v="2"/>
    <x v="2"/>
  </r>
  <r>
    <x v="2"/>
    <x v="0"/>
    <n v="206708"/>
    <x v="7"/>
    <x v="2"/>
    <x v="2"/>
    <x v="2"/>
  </r>
  <r>
    <x v="2"/>
    <x v="3"/>
    <n v="315199"/>
    <x v="15"/>
    <x v="1"/>
    <x v="1"/>
    <x v="2"/>
  </r>
  <r>
    <x v="2"/>
    <x v="0"/>
    <n v="218616"/>
    <x v="86"/>
    <x v="2"/>
    <x v="2"/>
    <x v="2"/>
  </r>
  <r>
    <x v="2"/>
    <x v="0"/>
    <n v="218210"/>
    <x v="69"/>
    <x v="1"/>
    <x v="1"/>
    <x v="2"/>
  </r>
  <r>
    <x v="2"/>
    <x v="0"/>
    <n v="206968"/>
    <x v="12"/>
    <x v="0"/>
    <x v="0"/>
    <x v="2"/>
  </r>
  <r>
    <x v="2"/>
    <x v="3"/>
    <n v="218987"/>
    <x v="8"/>
    <x v="1"/>
    <x v="1"/>
    <x v="2"/>
  </r>
  <r>
    <x v="2"/>
    <x v="0"/>
    <n v="206298"/>
    <x v="14"/>
    <x v="1"/>
    <x v="1"/>
    <x v="2"/>
  </r>
  <r>
    <x v="2"/>
    <x v="0"/>
    <n v="218616"/>
    <x v="86"/>
    <x v="0"/>
    <x v="0"/>
    <x v="2"/>
  </r>
  <r>
    <x v="2"/>
    <x v="0"/>
    <n v="301809"/>
    <x v="95"/>
    <x v="2"/>
    <x v="2"/>
    <x v="2"/>
  </r>
  <r>
    <x v="2"/>
    <x v="0"/>
    <n v="301809"/>
    <x v="95"/>
    <x v="1"/>
    <x v="1"/>
    <x v="2"/>
  </r>
  <r>
    <x v="2"/>
    <x v="0"/>
    <n v="303189"/>
    <x v="42"/>
    <x v="0"/>
    <x v="0"/>
    <x v="2"/>
  </r>
  <r>
    <x v="2"/>
    <x v="0"/>
    <n v="303189"/>
    <x v="42"/>
    <x v="2"/>
    <x v="2"/>
    <x v="2"/>
  </r>
  <r>
    <x v="2"/>
    <x v="0"/>
    <n v="130744"/>
    <x v="97"/>
    <x v="2"/>
    <x v="2"/>
    <x v="2"/>
  </r>
  <r>
    <x v="2"/>
    <x v="0"/>
    <n v="204939"/>
    <x v="61"/>
    <x v="0"/>
    <x v="0"/>
    <x v="2"/>
  </r>
  <r>
    <x v="2"/>
    <x v="0"/>
    <n v="204939"/>
    <x v="61"/>
    <x v="2"/>
    <x v="2"/>
    <x v="2"/>
  </r>
  <r>
    <x v="2"/>
    <x v="0"/>
    <n v="117819"/>
    <x v="83"/>
    <x v="2"/>
    <x v="2"/>
    <x v="2"/>
  </r>
  <r>
    <x v="2"/>
    <x v="0"/>
    <n v="317470"/>
    <x v="10"/>
    <x v="1"/>
    <x v="1"/>
    <x v="2"/>
  </r>
  <r>
    <x v="2"/>
    <x v="3"/>
    <n v="207404"/>
    <x v="16"/>
    <x v="1"/>
    <x v="1"/>
    <x v="2"/>
  </r>
  <r>
    <x v="2"/>
    <x v="0"/>
    <n v="218210"/>
    <x v="69"/>
    <x v="2"/>
    <x v="2"/>
    <x v="2"/>
  </r>
  <r>
    <x v="2"/>
    <x v="0"/>
    <n v="206348"/>
    <x v="4"/>
    <x v="2"/>
    <x v="2"/>
    <x v="2"/>
  </r>
  <r>
    <x v="2"/>
    <x v="0"/>
    <n v="314137"/>
    <x v="19"/>
    <x v="0"/>
    <x v="0"/>
    <x v="2"/>
  </r>
  <r>
    <x v="2"/>
    <x v="1"/>
    <n v="218987"/>
    <x v="8"/>
    <x v="2"/>
    <x v="2"/>
    <x v="2"/>
  </r>
  <r>
    <x v="2"/>
    <x v="0"/>
    <n v="117819"/>
    <x v="83"/>
    <x v="0"/>
    <x v="0"/>
    <x v="2"/>
  </r>
  <r>
    <x v="2"/>
    <x v="0"/>
    <n v="216566"/>
    <x v="96"/>
    <x v="0"/>
    <x v="0"/>
    <x v="2"/>
  </r>
  <r>
    <x v="2"/>
    <x v="0"/>
    <n v="216566"/>
    <x v="96"/>
    <x v="2"/>
    <x v="2"/>
    <x v="2"/>
  </r>
  <r>
    <x v="2"/>
    <x v="0"/>
    <n v="2737"/>
    <x v="62"/>
    <x v="2"/>
    <x v="2"/>
    <x v="2"/>
  </r>
  <r>
    <x v="2"/>
    <x v="0"/>
    <n v="117501"/>
    <x v="84"/>
    <x v="0"/>
    <x v="0"/>
    <x v="2"/>
  </r>
  <r>
    <x v="2"/>
    <x v="0"/>
    <n v="117501"/>
    <x v="84"/>
    <x v="2"/>
    <x v="2"/>
    <x v="2"/>
  </r>
  <r>
    <x v="2"/>
    <x v="0"/>
    <n v="302335"/>
    <x v="70"/>
    <x v="2"/>
    <x v="2"/>
    <x v="2"/>
  </r>
  <r>
    <x v="2"/>
    <x v="0"/>
    <n v="686"/>
    <x v="26"/>
    <x v="2"/>
    <x v="2"/>
    <x v="2"/>
  </r>
  <r>
    <x v="2"/>
    <x v="0"/>
    <n v="686"/>
    <x v="26"/>
    <x v="0"/>
    <x v="0"/>
    <x v="2"/>
  </r>
  <r>
    <x v="2"/>
    <x v="0"/>
    <n v="207743"/>
    <x v="20"/>
    <x v="0"/>
    <x v="0"/>
    <x v="2"/>
  </r>
  <r>
    <x v="2"/>
    <x v="3"/>
    <n v="507"/>
    <x v="9"/>
    <x v="2"/>
    <x v="2"/>
    <x v="2"/>
  </r>
  <r>
    <x v="2"/>
    <x v="0"/>
    <n v="117442"/>
    <x v="68"/>
    <x v="2"/>
    <x v="2"/>
    <x v="2"/>
  </r>
  <r>
    <x v="2"/>
    <x v="0"/>
    <n v="312807"/>
    <x v="21"/>
    <x v="0"/>
    <x v="0"/>
    <x v="2"/>
  </r>
  <r>
    <x v="2"/>
    <x v="0"/>
    <n v="117442"/>
    <x v="68"/>
    <x v="0"/>
    <x v="0"/>
    <x v="2"/>
  </r>
  <r>
    <x v="2"/>
    <x v="3"/>
    <n v="206236"/>
    <x v="22"/>
    <x v="1"/>
    <x v="1"/>
    <x v="2"/>
  </r>
  <r>
    <x v="2"/>
    <x v="0"/>
    <n v="301229"/>
    <x v="98"/>
    <x v="2"/>
    <x v="2"/>
    <x v="2"/>
  </r>
  <r>
    <x v="2"/>
    <x v="0"/>
    <n v="301229"/>
    <x v="98"/>
    <x v="1"/>
    <x v="1"/>
    <x v="2"/>
  </r>
  <r>
    <x v="2"/>
    <x v="0"/>
    <n v="218698"/>
    <x v="48"/>
    <x v="0"/>
    <x v="0"/>
    <x v="2"/>
  </r>
  <r>
    <x v="2"/>
    <x v="0"/>
    <n v="302856"/>
    <x v="46"/>
    <x v="1"/>
    <x v="1"/>
    <x v="2"/>
  </r>
  <r>
    <x v="2"/>
    <x v="0"/>
    <n v="302856"/>
    <x v="46"/>
    <x v="2"/>
    <x v="2"/>
    <x v="2"/>
  </r>
  <r>
    <x v="2"/>
    <x v="3"/>
    <n v="207743"/>
    <x v="20"/>
    <x v="1"/>
    <x v="1"/>
    <x v="2"/>
  </r>
  <r>
    <x v="2"/>
    <x v="1"/>
    <n v="218987"/>
    <x v="8"/>
    <x v="0"/>
    <x v="0"/>
    <x v="2"/>
  </r>
  <r>
    <x v="2"/>
    <x v="0"/>
    <n v="218698"/>
    <x v="48"/>
    <x v="2"/>
    <x v="2"/>
    <x v="2"/>
  </r>
  <r>
    <x v="2"/>
    <x v="0"/>
    <n v="140302"/>
    <x v="100"/>
    <x v="0"/>
    <x v="0"/>
    <x v="2"/>
  </r>
  <r>
    <x v="2"/>
    <x v="0"/>
    <n v="140302"/>
    <x v="100"/>
    <x v="2"/>
    <x v="2"/>
    <x v="2"/>
  </r>
  <r>
    <x v="2"/>
    <x v="0"/>
    <n v="218402"/>
    <x v="101"/>
    <x v="0"/>
    <x v="0"/>
    <x v="2"/>
  </r>
  <r>
    <x v="2"/>
    <x v="0"/>
    <n v="302737"/>
    <x v="52"/>
    <x v="2"/>
    <x v="2"/>
    <x v="2"/>
  </r>
  <r>
    <x v="2"/>
    <x v="0"/>
    <n v="312617"/>
    <x v="24"/>
    <x v="1"/>
    <x v="1"/>
    <x v="2"/>
  </r>
  <r>
    <x v="2"/>
    <x v="0"/>
    <n v="211470"/>
    <x v="53"/>
    <x v="2"/>
    <x v="2"/>
    <x v="2"/>
  </r>
  <r>
    <x v="2"/>
    <x v="0"/>
    <n v="321932"/>
    <x v="23"/>
    <x v="0"/>
    <x v="0"/>
    <x v="2"/>
  </r>
  <r>
    <x v="2"/>
    <x v="0"/>
    <n v="218402"/>
    <x v="101"/>
    <x v="2"/>
    <x v="2"/>
    <x v="2"/>
  </r>
  <r>
    <x v="2"/>
    <x v="0"/>
    <n v="300862"/>
    <x v="66"/>
    <x v="2"/>
    <x v="2"/>
    <x v="2"/>
  </r>
  <r>
    <x v="2"/>
    <x v="0"/>
    <n v="211470"/>
    <x v="53"/>
    <x v="0"/>
    <x v="0"/>
    <x v="2"/>
  </r>
  <r>
    <x v="2"/>
    <x v="0"/>
    <n v="208277"/>
    <x v="25"/>
    <x v="0"/>
    <x v="0"/>
    <x v="2"/>
  </r>
  <r>
    <x v="2"/>
    <x v="4"/>
    <n v="300363"/>
    <x v="11"/>
    <x v="0"/>
    <x v="0"/>
    <x v="2"/>
  </r>
  <r>
    <x v="2"/>
    <x v="0"/>
    <n v="315199"/>
    <x v="15"/>
    <x v="0"/>
    <x v="0"/>
    <x v="2"/>
  </r>
  <r>
    <x v="2"/>
    <x v="0"/>
    <n v="315199"/>
    <x v="15"/>
    <x v="2"/>
    <x v="2"/>
    <x v="2"/>
  </r>
  <r>
    <x v="2"/>
    <x v="0"/>
    <n v="301983"/>
    <x v="85"/>
    <x v="2"/>
    <x v="2"/>
    <x v="2"/>
  </r>
  <r>
    <x v="2"/>
    <x v="0"/>
    <n v="302988"/>
    <x v="45"/>
    <x v="0"/>
    <x v="0"/>
    <x v="2"/>
  </r>
  <r>
    <x v="2"/>
    <x v="0"/>
    <n v="302988"/>
    <x v="45"/>
    <x v="2"/>
    <x v="2"/>
    <x v="2"/>
  </r>
  <r>
    <x v="2"/>
    <x v="0"/>
    <n v="218644"/>
    <x v="63"/>
    <x v="2"/>
    <x v="2"/>
    <x v="2"/>
  </r>
  <r>
    <x v="2"/>
    <x v="0"/>
    <n v="218916"/>
    <x v="17"/>
    <x v="1"/>
    <x v="1"/>
    <x v="2"/>
  </r>
  <r>
    <x v="2"/>
    <x v="0"/>
    <n v="312617"/>
    <x v="24"/>
    <x v="0"/>
    <x v="0"/>
    <x v="2"/>
  </r>
  <r>
    <x v="2"/>
    <x v="0"/>
    <n v="209208"/>
    <x v="30"/>
    <x v="2"/>
    <x v="2"/>
    <x v="2"/>
  </r>
  <r>
    <x v="2"/>
    <x v="0"/>
    <n v="209208"/>
    <x v="30"/>
    <x v="0"/>
    <x v="0"/>
    <x v="2"/>
  </r>
  <r>
    <x v="2"/>
    <x v="0"/>
    <n v="300862"/>
    <x v="66"/>
    <x v="0"/>
    <x v="0"/>
    <x v="2"/>
  </r>
  <r>
    <x v="2"/>
    <x v="0"/>
    <n v="205985"/>
    <x v="27"/>
    <x v="1"/>
    <x v="1"/>
    <x v="2"/>
  </r>
  <r>
    <x v="2"/>
    <x v="0"/>
    <n v="208277"/>
    <x v="25"/>
    <x v="1"/>
    <x v="1"/>
    <x v="2"/>
  </r>
  <r>
    <x v="2"/>
    <x v="3"/>
    <n v="507"/>
    <x v="9"/>
    <x v="1"/>
    <x v="1"/>
    <x v="2"/>
  </r>
  <r>
    <x v="2"/>
    <x v="0"/>
    <n v="205985"/>
    <x v="27"/>
    <x v="2"/>
    <x v="2"/>
    <x v="2"/>
  </r>
  <r>
    <x v="2"/>
    <x v="0"/>
    <n v="169537"/>
    <x v="81"/>
    <x v="0"/>
    <x v="0"/>
    <x v="2"/>
  </r>
  <r>
    <x v="2"/>
    <x v="0"/>
    <n v="169537"/>
    <x v="81"/>
    <x v="2"/>
    <x v="2"/>
    <x v="2"/>
  </r>
  <r>
    <x v="2"/>
    <x v="0"/>
    <n v="204615"/>
    <x v="67"/>
    <x v="0"/>
    <x v="0"/>
    <x v="2"/>
  </r>
  <r>
    <x v="2"/>
    <x v="0"/>
    <n v="204615"/>
    <x v="67"/>
    <x v="2"/>
    <x v="2"/>
    <x v="2"/>
  </r>
  <r>
    <x v="2"/>
    <x v="0"/>
    <n v="216476"/>
    <x v="94"/>
    <x v="0"/>
    <x v="0"/>
    <x v="2"/>
  </r>
  <r>
    <x v="2"/>
    <x v="0"/>
    <n v="218732"/>
    <x v="29"/>
    <x v="1"/>
    <x v="1"/>
    <x v="2"/>
  </r>
  <r>
    <x v="2"/>
    <x v="0"/>
    <n v="312259"/>
    <x v="28"/>
    <x v="1"/>
    <x v="1"/>
    <x v="2"/>
  </r>
  <r>
    <x v="2"/>
    <x v="0"/>
    <n v="211622"/>
    <x v="82"/>
    <x v="1"/>
    <x v="1"/>
    <x v="2"/>
  </r>
  <r>
    <x v="2"/>
    <x v="0"/>
    <n v="211622"/>
    <x v="82"/>
    <x v="2"/>
    <x v="2"/>
    <x v="2"/>
  </r>
  <r>
    <x v="2"/>
    <x v="0"/>
    <n v="208277"/>
    <x v="25"/>
    <x v="2"/>
    <x v="2"/>
    <x v="2"/>
  </r>
  <r>
    <x v="2"/>
    <x v="0"/>
    <n v="169872"/>
    <x v="79"/>
    <x v="2"/>
    <x v="2"/>
    <x v="2"/>
  </r>
  <r>
    <x v="2"/>
    <x v="0"/>
    <n v="209208"/>
    <x v="30"/>
    <x v="1"/>
    <x v="1"/>
    <x v="2"/>
  </r>
  <r>
    <x v="2"/>
    <x v="0"/>
    <n v="686"/>
    <x v="26"/>
    <x v="1"/>
    <x v="1"/>
    <x v="2"/>
  </r>
  <r>
    <x v="2"/>
    <x v="0"/>
    <n v="216476"/>
    <x v="94"/>
    <x v="2"/>
    <x v="2"/>
    <x v="2"/>
  </r>
  <r>
    <x v="2"/>
    <x v="0"/>
    <n v="144649"/>
    <x v="102"/>
    <x v="0"/>
    <x v="0"/>
    <x v="2"/>
  </r>
  <r>
    <x v="2"/>
    <x v="0"/>
    <n v="144649"/>
    <x v="102"/>
    <x v="2"/>
    <x v="2"/>
    <x v="2"/>
  </r>
  <r>
    <x v="2"/>
    <x v="0"/>
    <n v="314137"/>
    <x v="19"/>
    <x v="2"/>
    <x v="2"/>
    <x v="2"/>
  </r>
  <r>
    <x v="2"/>
    <x v="0"/>
    <n v="314137"/>
    <x v="19"/>
    <x v="1"/>
    <x v="1"/>
    <x v="2"/>
  </r>
  <r>
    <x v="2"/>
    <x v="0"/>
    <n v="149445"/>
    <x v="99"/>
    <x v="0"/>
    <x v="0"/>
    <x v="2"/>
  </r>
  <r>
    <x v="2"/>
    <x v="0"/>
    <n v="1733"/>
    <x v="37"/>
    <x v="0"/>
    <x v="0"/>
    <x v="2"/>
  </r>
  <r>
    <x v="2"/>
    <x v="0"/>
    <n v="312259"/>
    <x v="28"/>
    <x v="0"/>
    <x v="0"/>
    <x v="2"/>
  </r>
  <r>
    <x v="2"/>
    <x v="0"/>
    <n v="323608"/>
    <x v="31"/>
    <x v="0"/>
    <x v="0"/>
    <x v="2"/>
  </r>
  <r>
    <x v="2"/>
    <x v="0"/>
    <n v="300571"/>
    <x v="18"/>
    <x v="0"/>
    <x v="0"/>
    <x v="2"/>
  </r>
  <r>
    <x v="2"/>
    <x v="0"/>
    <n v="169872"/>
    <x v="79"/>
    <x v="0"/>
    <x v="0"/>
    <x v="2"/>
  </r>
  <r>
    <x v="2"/>
    <x v="4"/>
    <n v="209209"/>
    <x v="32"/>
    <x v="1"/>
    <x v="1"/>
    <x v="2"/>
  </r>
  <r>
    <x v="2"/>
    <x v="0"/>
    <n v="218698"/>
    <x v="48"/>
    <x v="1"/>
    <x v="1"/>
    <x v="2"/>
  </r>
  <r>
    <x v="2"/>
    <x v="4"/>
    <n v="1733"/>
    <x v="37"/>
    <x v="2"/>
    <x v="2"/>
    <x v="2"/>
  </r>
  <r>
    <x v="2"/>
    <x v="0"/>
    <n v="149445"/>
    <x v="99"/>
    <x v="2"/>
    <x v="2"/>
    <x v="2"/>
  </r>
  <r>
    <x v="2"/>
    <x v="0"/>
    <n v="217081"/>
    <x v="13"/>
    <x v="0"/>
    <x v="0"/>
    <x v="2"/>
  </r>
  <r>
    <x v="2"/>
    <x v="0"/>
    <n v="217081"/>
    <x v="13"/>
    <x v="2"/>
    <x v="2"/>
    <x v="2"/>
  </r>
  <r>
    <x v="2"/>
    <x v="0"/>
    <n v="218916"/>
    <x v="17"/>
    <x v="0"/>
    <x v="0"/>
    <x v="2"/>
  </r>
  <r>
    <x v="2"/>
    <x v="0"/>
    <n v="218916"/>
    <x v="17"/>
    <x v="2"/>
    <x v="2"/>
    <x v="2"/>
  </r>
  <r>
    <x v="2"/>
    <x v="0"/>
    <n v="206236"/>
    <x v="22"/>
    <x v="0"/>
    <x v="0"/>
    <x v="2"/>
  </r>
  <r>
    <x v="2"/>
    <x v="0"/>
    <n v="206236"/>
    <x v="22"/>
    <x v="2"/>
    <x v="2"/>
    <x v="2"/>
  </r>
  <r>
    <x v="2"/>
    <x v="5"/>
    <n v="218674"/>
    <x v="57"/>
    <x v="1"/>
    <x v="1"/>
    <x v="2"/>
  </r>
  <r>
    <x v="2"/>
    <x v="3"/>
    <n v="205985"/>
    <x v="27"/>
    <x v="0"/>
    <x v="0"/>
    <x v="2"/>
  </r>
  <r>
    <x v="2"/>
    <x v="0"/>
    <n v="323608"/>
    <x v="31"/>
    <x v="1"/>
    <x v="1"/>
    <x v="2"/>
  </r>
  <r>
    <x v="2"/>
    <x v="0"/>
    <n v="209211"/>
    <x v="33"/>
    <x v="1"/>
    <x v="1"/>
    <x v="2"/>
  </r>
  <r>
    <x v="2"/>
    <x v="0"/>
    <n v="1733"/>
    <x v="37"/>
    <x v="1"/>
    <x v="1"/>
    <x v="2"/>
  </r>
  <r>
    <x v="2"/>
    <x v="0"/>
    <n v="311895"/>
    <x v="34"/>
    <x v="1"/>
    <x v="1"/>
    <x v="2"/>
  </r>
  <r>
    <x v="2"/>
    <x v="1"/>
    <n v="218644"/>
    <x v="63"/>
    <x v="1"/>
    <x v="1"/>
    <x v="2"/>
  </r>
  <r>
    <x v="2"/>
    <x v="0"/>
    <n v="311895"/>
    <x v="34"/>
    <x v="2"/>
    <x v="2"/>
    <x v="2"/>
  </r>
  <r>
    <x v="2"/>
    <x v="0"/>
    <n v="209209"/>
    <x v="32"/>
    <x v="0"/>
    <x v="0"/>
    <x v="2"/>
  </r>
  <r>
    <x v="2"/>
    <x v="0"/>
    <n v="209209"/>
    <x v="32"/>
    <x v="2"/>
    <x v="2"/>
    <x v="2"/>
  </r>
  <r>
    <x v="2"/>
    <x v="0"/>
    <n v="214951"/>
    <x v="78"/>
    <x v="0"/>
    <x v="0"/>
    <x v="2"/>
  </r>
  <r>
    <x v="2"/>
    <x v="0"/>
    <n v="214951"/>
    <x v="78"/>
    <x v="2"/>
    <x v="2"/>
    <x v="2"/>
  </r>
  <r>
    <x v="2"/>
    <x v="0"/>
    <n v="204952"/>
    <x v="56"/>
    <x v="0"/>
    <x v="0"/>
    <x v="2"/>
  </r>
  <r>
    <x v="2"/>
    <x v="0"/>
    <n v="204952"/>
    <x v="56"/>
    <x v="2"/>
    <x v="2"/>
    <x v="2"/>
  </r>
  <r>
    <x v="2"/>
    <x v="1"/>
    <n v="324108"/>
    <x v="35"/>
    <x v="0"/>
    <x v="0"/>
    <x v="2"/>
  </r>
  <r>
    <x v="2"/>
    <x v="0"/>
    <n v="2737"/>
    <x v="62"/>
    <x v="0"/>
    <x v="0"/>
    <x v="2"/>
  </r>
  <r>
    <x v="2"/>
    <x v="0"/>
    <n v="210001"/>
    <x v="36"/>
    <x v="0"/>
    <x v="0"/>
    <x v="2"/>
  </r>
  <r>
    <x v="2"/>
    <x v="6"/>
    <n v="2737"/>
    <x v="62"/>
    <x v="1"/>
    <x v="1"/>
    <x v="2"/>
  </r>
  <r>
    <x v="2"/>
    <x v="0"/>
    <n v="312259"/>
    <x v="28"/>
    <x v="2"/>
    <x v="2"/>
    <x v="2"/>
  </r>
  <r>
    <x v="2"/>
    <x v="0"/>
    <n v="300571"/>
    <x v="18"/>
    <x v="1"/>
    <x v="1"/>
    <x v="2"/>
  </r>
  <r>
    <x v="2"/>
    <x v="5"/>
    <n v="303221"/>
    <x v="38"/>
    <x v="1"/>
    <x v="1"/>
    <x v="2"/>
  </r>
  <r>
    <x v="2"/>
    <x v="0"/>
    <n v="311895"/>
    <x v="34"/>
    <x v="0"/>
    <x v="0"/>
    <x v="2"/>
  </r>
  <r>
    <x v="2"/>
    <x v="1"/>
    <n v="218644"/>
    <x v="63"/>
    <x v="0"/>
    <x v="0"/>
    <x v="2"/>
  </r>
  <r>
    <x v="2"/>
    <x v="0"/>
    <n v="205104"/>
    <x v="51"/>
    <x v="0"/>
    <x v="0"/>
    <x v="2"/>
  </r>
  <r>
    <x v="2"/>
    <x v="0"/>
    <n v="205104"/>
    <x v="51"/>
    <x v="2"/>
    <x v="2"/>
    <x v="2"/>
  </r>
  <r>
    <x v="2"/>
    <x v="0"/>
    <n v="210127"/>
    <x v="41"/>
    <x v="0"/>
    <x v="0"/>
    <x v="2"/>
  </r>
  <r>
    <x v="2"/>
    <x v="0"/>
    <n v="210127"/>
    <x v="41"/>
    <x v="2"/>
    <x v="2"/>
    <x v="2"/>
  </r>
  <r>
    <x v="2"/>
    <x v="0"/>
    <n v="218674"/>
    <x v="57"/>
    <x v="0"/>
    <x v="0"/>
    <x v="2"/>
  </r>
  <r>
    <x v="2"/>
    <x v="4"/>
    <n v="205349"/>
    <x v="39"/>
    <x v="1"/>
    <x v="1"/>
    <x v="2"/>
  </r>
  <r>
    <x v="2"/>
    <x v="0"/>
    <n v="117230"/>
    <x v="73"/>
    <x v="2"/>
    <x v="2"/>
    <x v="2"/>
  </r>
  <r>
    <x v="2"/>
    <x v="0"/>
    <n v="210001"/>
    <x v="36"/>
    <x v="1"/>
    <x v="1"/>
    <x v="2"/>
  </r>
  <r>
    <x v="2"/>
    <x v="0"/>
    <n v="117230"/>
    <x v="73"/>
    <x v="1"/>
    <x v="1"/>
    <x v="2"/>
  </r>
  <r>
    <x v="2"/>
    <x v="0"/>
    <n v="218674"/>
    <x v="57"/>
    <x v="2"/>
    <x v="2"/>
    <x v="2"/>
  </r>
  <r>
    <x v="2"/>
    <x v="0"/>
    <n v="206968"/>
    <x v="12"/>
    <x v="2"/>
    <x v="2"/>
    <x v="2"/>
  </r>
  <r>
    <x v="2"/>
    <x v="0"/>
    <n v="117442"/>
    <x v="68"/>
    <x v="1"/>
    <x v="1"/>
    <x v="2"/>
  </r>
  <r>
    <x v="2"/>
    <x v="3"/>
    <n v="303219"/>
    <x v="40"/>
    <x v="1"/>
    <x v="1"/>
    <x v="2"/>
  </r>
  <r>
    <x v="2"/>
    <x v="0"/>
    <n v="117230"/>
    <x v="73"/>
    <x v="0"/>
    <x v="0"/>
    <x v="2"/>
  </r>
  <r>
    <x v="2"/>
    <x v="0"/>
    <n v="316646"/>
    <x v="6"/>
    <x v="2"/>
    <x v="2"/>
    <x v="2"/>
  </r>
  <r>
    <x v="2"/>
    <x v="0"/>
    <n v="206968"/>
    <x v="12"/>
    <x v="1"/>
    <x v="1"/>
    <x v="2"/>
  </r>
  <r>
    <x v="2"/>
    <x v="0"/>
    <n v="117866"/>
    <x v="87"/>
    <x v="0"/>
    <x v="0"/>
    <x v="2"/>
  </r>
  <r>
    <x v="2"/>
    <x v="0"/>
    <n v="117866"/>
    <x v="87"/>
    <x v="2"/>
    <x v="2"/>
    <x v="2"/>
  </r>
  <r>
    <x v="2"/>
    <x v="0"/>
    <n v="161003"/>
    <x v="88"/>
    <x v="0"/>
    <x v="0"/>
    <x v="2"/>
  </r>
  <r>
    <x v="2"/>
    <x v="0"/>
    <n v="300169"/>
    <x v="5"/>
    <x v="2"/>
    <x v="2"/>
    <x v="2"/>
  </r>
  <r>
    <x v="2"/>
    <x v="0"/>
    <n v="210557"/>
    <x v="47"/>
    <x v="2"/>
    <x v="2"/>
    <x v="2"/>
  </r>
  <r>
    <x v="2"/>
    <x v="3"/>
    <n v="210127"/>
    <x v="41"/>
    <x v="1"/>
    <x v="1"/>
    <x v="2"/>
  </r>
  <r>
    <x v="2"/>
    <x v="0"/>
    <n v="300711"/>
    <x v="74"/>
    <x v="1"/>
    <x v="1"/>
    <x v="2"/>
  </r>
  <r>
    <x v="2"/>
    <x v="0"/>
    <n v="161003"/>
    <x v="88"/>
    <x v="2"/>
    <x v="2"/>
    <x v="2"/>
  </r>
  <r>
    <x v="2"/>
    <x v="0"/>
    <n v="218732"/>
    <x v="29"/>
    <x v="0"/>
    <x v="0"/>
    <x v="2"/>
  </r>
  <r>
    <x v="2"/>
    <x v="0"/>
    <n v="131643"/>
    <x v="0"/>
    <x v="0"/>
    <x v="0"/>
    <x v="2"/>
  </r>
  <r>
    <x v="2"/>
    <x v="0"/>
    <n v="303189"/>
    <x v="42"/>
    <x v="1"/>
    <x v="1"/>
    <x v="2"/>
  </r>
  <r>
    <x v="2"/>
    <x v="1"/>
    <n v="324108"/>
    <x v="35"/>
    <x v="2"/>
    <x v="2"/>
    <x v="2"/>
  </r>
  <r>
    <x v="2"/>
    <x v="3"/>
    <n v="218628"/>
    <x v="76"/>
    <x v="1"/>
    <x v="1"/>
    <x v="2"/>
  </r>
  <r>
    <x v="2"/>
    <x v="0"/>
    <n v="218732"/>
    <x v="29"/>
    <x v="2"/>
    <x v="2"/>
    <x v="2"/>
  </r>
  <r>
    <x v="2"/>
    <x v="0"/>
    <n v="321932"/>
    <x v="23"/>
    <x v="2"/>
    <x v="2"/>
    <x v="2"/>
  </r>
  <r>
    <x v="2"/>
    <x v="0"/>
    <n v="321932"/>
    <x v="23"/>
    <x v="1"/>
    <x v="1"/>
    <x v="2"/>
  </r>
  <r>
    <x v="2"/>
    <x v="0"/>
    <n v="210557"/>
    <x v="47"/>
    <x v="0"/>
    <x v="0"/>
    <x v="2"/>
  </r>
  <r>
    <x v="2"/>
    <x v="0"/>
    <n v="117456"/>
    <x v="80"/>
    <x v="1"/>
    <x v="1"/>
    <x v="2"/>
  </r>
  <r>
    <x v="2"/>
    <x v="0"/>
    <n v="210515"/>
    <x v="43"/>
    <x v="0"/>
    <x v="0"/>
    <x v="2"/>
  </r>
  <r>
    <x v="2"/>
    <x v="0"/>
    <n v="117501"/>
    <x v="84"/>
    <x v="1"/>
    <x v="1"/>
    <x v="2"/>
  </r>
  <r>
    <x v="2"/>
    <x v="0"/>
    <n v="207404"/>
    <x v="16"/>
    <x v="0"/>
    <x v="0"/>
    <x v="2"/>
  </r>
  <r>
    <x v="2"/>
    <x v="0"/>
    <n v="207404"/>
    <x v="16"/>
    <x v="2"/>
    <x v="2"/>
    <x v="2"/>
  </r>
  <r>
    <x v="2"/>
    <x v="0"/>
    <n v="210515"/>
    <x v="43"/>
    <x v="2"/>
    <x v="2"/>
    <x v="2"/>
  </r>
  <r>
    <x v="2"/>
    <x v="4"/>
    <n v="300862"/>
    <x v="66"/>
    <x v="1"/>
    <x v="1"/>
    <x v="2"/>
  </r>
  <r>
    <x v="2"/>
    <x v="5"/>
    <n v="302988"/>
    <x v="45"/>
    <x v="1"/>
    <x v="1"/>
    <x v="2"/>
  </r>
  <r>
    <x v="2"/>
    <x v="0"/>
    <n v="205228"/>
    <x v="44"/>
    <x v="1"/>
    <x v="1"/>
    <x v="2"/>
  </r>
  <r>
    <x v="2"/>
    <x v="0"/>
    <n v="161520"/>
    <x v="77"/>
    <x v="2"/>
    <x v="2"/>
    <x v="2"/>
  </r>
  <r>
    <x v="2"/>
    <x v="0"/>
    <n v="203631"/>
    <x v="71"/>
    <x v="0"/>
    <x v="0"/>
    <x v="2"/>
  </r>
  <r>
    <x v="2"/>
    <x v="0"/>
    <n v="203631"/>
    <x v="71"/>
    <x v="2"/>
    <x v="2"/>
    <x v="2"/>
  </r>
  <r>
    <x v="2"/>
    <x v="0"/>
    <n v="217678"/>
    <x v="104"/>
    <x v="0"/>
    <x v="0"/>
    <x v="2"/>
  </r>
  <r>
    <x v="2"/>
    <x v="0"/>
    <n v="161520"/>
    <x v="77"/>
    <x v="0"/>
    <x v="0"/>
    <x v="2"/>
  </r>
  <r>
    <x v="2"/>
    <x v="0"/>
    <n v="117456"/>
    <x v="80"/>
    <x v="2"/>
    <x v="2"/>
    <x v="2"/>
  </r>
  <r>
    <x v="2"/>
    <x v="0"/>
    <n v="210515"/>
    <x v="43"/>
    <x v="1"/>
    <x v="1"/>
    <x v="2"/>
  </r>
  <r>
    <x v="2"/>
    <x v="3"/>
    <n v="218628"/>
    <x v="76"/>
    <x v="0"/>
    <x v="0"/>
    <x v="2"/>
  </r>
  <r>
    <x v="2"/>
    <x v="0"/>
    <n v="217678"/>
    <x v="104"/>
    <x v="2"/>
    <x v="2"/>
    <x v="2"/>
  </r>
  <r>
    <x v="2"/>
    <x v="0"/>
    <n v="205228"/>
    <x v="44"/>
    <x v="0"/>
    <x v="0"/>
    <x v="2"/>
  </r>
  <r>
    <x v="2"/>
    <x v="0"/>
    <n v="205228"/>
    <x v="44"/>
    <x v="2"/>
    <x v="2"/>
    <x v="2"/>
  </r>
  <r>
    <x v="2"/>
    <x v="0"/>
    <n v="206298"/>
    <x v="14"/>
    <x v="0"/>
    <x v="0"/>
    <x v="2"/>
  </r>
  <r>
    <x v="2"/>
    <x v="3"/>
    <n v="117819"/>
    <x v="83"/>
    <x v="1"/>
    <x v="1"/>
    <x v="2"/>
  </r>
  <r>
    <x v="2"/>
    <x v="0"/>
    <n v="302856"/>
    <x v="46"/>
    <x v="0"/>
    <x v="0"/>
    <x v="2"/>
  </r>
  <r>
    <x v="2"/>
    <x v="0"/>
    <n v="117456"/>
    <x v="80"/>
    <x v="0"/>
    <x v="0"/>
    <x v="2"/>
  </r>
  <r>
    <x v="2"/>
    <x v="0"/>
    <n v="205349"/>
    <x v="39"/>
    <x v="2"/>
    <x v="2"/>
    <x v="2"/>
  </r>
  <r>
    <x v="2"/>
    <x v="0"/>
    <n v="206298"/>
    <x v="14"/>
    <x v="2"/>
    <x v="2"/>
    <x v="2"/>
  </r>
  <r>
    <x v="2"/>
    <x v="0"/>
    <n v="213849"/>
    <x v="58"/>
    <x v="0"/>
    <x v="0"/>
    <x v="2"/>
  </r>
  <r>
    <x v="2"/>
    <x v="1"/>
    <n v="324108"/>
    <x v="35"/>
    <x v="1"/>
    <x v="1"/>
    <x v="2"/>
  </r>
  <r>
    <x v="2"/>
    <x v="3"/>
    <n v="117866"/>
    <x v="87"/>
    <x v="1"/>
    <x v="1"/>
    <x v="2"/>
  </r>
  <r>
    <x v="2"/>
    <x v="2"/>
    <n v="210557"/>
    <x v="47"/>
    <x v="1"/>
    <x v="1"/>
    <x v="2"/>
  </r>
  <r>
    <x v="2"/>
    <x v="0"/>
    <n v="218623"/>
    <x v="65"/>
    <x v="0"/>
    <x v="0"/>
    <x v="2"/>
  </r>
  <r>
    <x v="2"/>
    <x v="0"/>
    <n v="213849"/>
    <x v="58"/>
    <x v="2"/>
    <x v="2"/>
    <x v="2"/>
  </r>
  <r>
    <x v="2"/>
    <x v="0"/>
    <n v="300219"/>
    <x v="3"/>
    <x v="2"/>
    <x v="2"/>
    <x v="2"/>
  </r>
  <r>
    <x v="2"/>
    <x v="0"/>
    <n v="158751"/>
    <x v="54"/>
    <x v="0"/>
    <x v="0"/>
    <x v="2"/>
  </r>
  <r>
    <x v="2"/>
    <x v="0"/>
    <n v="158751"/>
    <x v="54"/>
    <x v="2"/>
    <x v="2"/>
    <x v="2"/>
  </r>
  <r>
    <x v="2"/>
    <x v="0"/>
    <n v="117986"/>
    <x v="92"/>
    <x v="0"/>
    <x v="0"/>
    <x v="2"/>
  </r>
  <r>
    <x v="2"/>
    <x v="4"/>
    <n v="302769"/>
    <x v="49"/>
    <x v="1"/>
    <x v="1"/>
    <x v="2"/>
  </r>
  <r>
    <x v="2"/>
    <x v="0"/>
    <n v="205349"/>
    <x v="39"/>
    <x v="0"/>
    <x v="0"/>
    <x v="2"/>
  </r>
  <r>
    <x v="2"/>
    <x v="3"/>
    <n v="300987"/>
    <x v="59"/>
    <x v="1"/>
    <x v="1"/>
    <x v="2"/>
  </r>
  <r>
    <x v="2"/>
    <x v="0"/>
    <n v="160030"/>
    <x v="55"/>
    <x v="0"/>
    <x v="0"/>
    <x v="2"/>
  </r>
  <r>
    <x v="2"/>
    <x v="3"/>
    <n v="205104"/>
    <x v="51"/>
    <x v="1"/>
    <x v="1"/>
    <x v="2"/>
  </r>
  <r>
    <x v="2"/>
    <x v="0"/>
    <n v="168458"/>
    <x v="75"/>
    <x v="2"/>
    <x v="2"/>
    <x v="2"/>
  </r>
  <r>
    <x v="2"/>
    <x v="0"/>
    <n v="211415"/>
    <x v="50"/>
    <x v="1"/>
    <x v="1"/>
    <x v="2"/>
  </r>
  <r>
    <x v="2"/>
    <x v="0"/>
    <n v="218616"/>
    <x v="86"/>
    <x v="1"/>
    <x v="1"/>
    <x v="2"/>
  </r>
  <r>
    <x v="2"/>
    <x v="0"/>
    <n v="160030"/>
    <x v="55"/>
    <x v="2"/>
    <x v="2"/>
    <x v="2"/>
  </r>
  <r>
    <x v="2"/>
    <x v="0"/>
    <n v="300987"/>
    <x v="59"/>
    <x v="0"/>
    <x v="0"/>
    <x v="2"/>
  </r>
  <r>
    <x v="2"/>
    <x v="0"/>
    <n v="300987"/>
    <x v="59"/>
    <x v="2"/>
    <x v="2"/>
    <x v="2"/>
  </r>
  <r>
    <x v="2"/>
    <x v="0"/>
    <n v="158311"/>
    <x v="60"/>
    <x v="0"/>
    <x v="0"/>
    <x v="2"/>
  </r>
  <r>
    <x v="2"/>
    <x v="0"/>
    <n v="158311"/>
    <x v="60"/>
    <x v="2"/>
    <x v="2"/>
    <x v="2"/>
  </r>
  <r>
    <x v="2"/>
    <x v="5"/>
    <n v="117986"/>
    <x v="92"/>
    <x v="2"/>
    <x v="2"/>
    <x v="2"/>
  </r>
  <r>
    <x v="2"/>
    <x v="3"/>
    <n v="302737"/>
    <x v="52"/>
    <x v="1"/>
    <x v="1"/>
    <x v="2"/>
  </r>
  <r>
    <x v="2"/>
    <x v="0"/>
    <n v="168458"/>
    <x v="75"/>
    <x v="0"/>
    <x v="0"/>
    <x v="2"/>
  </r>
  <r>
    <x v="2"/>
    <x v="0"/>
    <n v="218628"/>
    <x v="76"/>
    <x v="2"/>
    <x v="2"/>
    <x v="2"/>
  </r>
  <r>
    <x v="2"/>
    <x v="0"/>
    <n v="211415"/>
    <x v="50"/>
    <x v="0"/>
    <x v="0"/>
    <x v="2"/>
  </r>
  <r>
    <x v="2"/>
    <x v="0"/>
    <n v="215020"/>
    <x v="72"/>
    <x v="2"/>
    <x v="2"/>
    <x v="2"/>
  </r>
  <r>
    <x v="2"/>
    <x v="0"/>
    <n v="131643"/>
    <x v="0"/>
    <x v="2"/>
    <x v="2"/>
    <x v="2"/>
  </r>
  <r>
    <x v="2"/>
    <x v="4"/>
    <n v="211470"/>
    <x v="53"/>
    <x v="1"/>
    <x v="1"/>
    <x v="2"/>
  </r>
  <r>
    <x v="2"/>
    <x v="0"/>
    <n v="117986"/>
    <x v="92"/>
    <x v="1"/>
    <x v="1"/>
    <x v="2"/>
  </r>
  <r>
    <x v="2"/>
    <x v="0"/>
    <n v="211415"/>
    <x v="50"/>
    <x v="2"/>
    <x v="2"/>
    <x v="2"/>
  </r>
  <r>
    <x v="2"/>
    <x v="0"/>
    <n v="218623"/>
    <x v="65"/>
    <x v="2"/>
    <x v="2"/>
    <x v="2"/>
  </r>
  <r>
    <x v="2"/>
    <x v="0"/>
    <n v="218623"/>
    <x v="65"/>
    <x v="1"/>
    <x v="1"/>
    <x v="2"/>
  </r>
  <r>
    <x v="2"/>
    <x v="0"/>
    <n v="301805"/>
    <x v="64"/>
    <x v="2"/>
    <x v="2"/>
    <x v="2"/>
  </r>
  <r>
    <x v="2"/>
    <x v="0"/>
    <n v="301805"/>
    <x v="64"/>
    <x v="1"/>
    <x v="1"/>
    <x v="2"/>
  </r>
  <r>
    <x v="2"/>
    <x v="0"/>
    <n v="301229"/>
    <x v="98"/>
    <x v="0"/>
    <x v="0"/>
    <x v="2"/>
  </r>
  <r>
    <x v="2"/>
    <x v="0"/>
    <n v="302737"/>
    <x v="52"/>
    <x v="0"/>
    <x v="0"/>
    <x v="2"/>
  </r>
  <r>
    <x v="2"/>
    <x v="0"/>
    <n v="218402"/>
    <x v="101"/>
    <x v="1"/>
    <x v="1"/>
    <x v="2"/>
  </r>
  <r>
    <x v="2"/>
    <x v="0"/>
    <n v="204952"/>
    <x v="56"/>
    <x v="1"/>
    <x v="1"/>
    <x v="2"/>
  </r>
  <r>
    <x v="2"/>
    <x v="0"/>
    <n v="118535"/>
    <x v="90"/>
    <x v="1"/>
    <x v="1"/>
    <x v="2"/>
  </r>
  <r>
    <x v="2"/>
    <x v="0"/>
    <n v="204939"/>
    <x v="61"/>
    <x v="1"/>
    <x v="1"/>
    <x v="2"/>
  </r>
  <r>
    <x v="2"/>
    <x v="0"/>
    <n v="211622"/>
    <x v="82"/>
    <x v="0"/>
    <x v="0"/>
    <x v="2"/>
  </r>
  <r>
    <x v="2"/>
    <x v="0"/>
    <n v="120762"/>
    <x v="103"/>
    <x v="0"/>
    <x v="0"/>
    <x v="2"/>
  </r>
  <r>
    <x v="2"/>
    <x v="0"/>
    <n v="301760"/>
    <x v="89"/>
    <x v="0"/>
    <x v="0"/>
    <x v="2"/>
  </r>
  <r>
    <x v="2"/>
    <x v="4"/>
    <n v="218225"/>
    <x v="1"/>
    <x v="1"/>
    <x v="1"/>
    <x v="2"/>
  </r>
  <r>
    <x v="2"/>
    <x v="0"/>
    <n v="120762"/>
    <x v="103"/>
    <x v="1"/>
    <x v="1"/>
    <x v="2"/>
  </r>
  <r>
    <x v="2"/>
    <x v="0"/>
    <n v="130744"/>
    <x v="97"/>
    <x v="0"/>
    <x v="0"/>
    <x v="2"/>
  </r>
  <r>
    <x v="2"/>
    <x v="0"/>
    <n v="301760"/>
    <x v="89"/>
    <x v="1"/>
    <x v="1"/>
    <x v="2"/>
  </r>
  <r>
    <x v="2"/>
    <x v="0"/>
    <n v="218210"/>
    <x v="69"/>
    <x v="0"/>
    <x v="0"/>
    <x v="2"/>
  </r>
  <r>
    <x v="2"/>
    <x v="0"/>
    <n v="130744"/>
    <x v="97"/>
    <x v="1"/>
    <x v="1"/>
    <x v="2"/>
  </r>
  <r>
    <x v="2"/>
    <x v="4"/>
    <n v="204615"/>
    <x v="67"/>
    <x v="1"/>
    <x v="1"/>
    <x v="2"/>
  </r>
  <r>
    <x v="2"/>
    <x v="4"/>
    <n v="213849"/>
    <x v="58"/>
    <x v="1"/>
    <x v="1"/>
    <x v="2"/>
  </r>
  <r>
    <x v="2"/>
    <x v="4"/>
    <n v="131643"/>
    <x v="0"/>
    <x v="1"/>
    <x v="1"/>
    <x v="2"/>
  </r>
  <r>
    <x v="2"/>
    <x v="0"/>
    <n v="301805"/>
    <x v="64"/>
    <x v="0"/>
    <x v="0"/>
    <x v="2"/>
  </r>
  <r>
    <x v="2"/>
    <x v="0"/>
    <n v="217678"/>
    <x v="104"/>
    <x v="1"/>
    <x v="1"/>
    <x v="2"/>
  </r>
  <r>
    <x v="2"/>
    <x v="0"/>
    <n v="302335"/>
    <x v="70"/>
    <x v="1"/>
    <x v="1"/>
    <x v="2"/>
  </r>
  <r>
    <x v="2"/>
    <x v="2"/>
    <n v="140302"/>
    <x v="100"/>
    <x v="1"/>
    <x v="1"/>
    <x v="2"/>
  </r>
  <r>
    <x v="2"/>
    <x v="0"/>
    <n v="203631"/>
    <x v="71"/>
    <x v="1"/>
    <x v="1"/>
    <x v="2"/>
  </r>
  <r>
    <x v="2"/>
    <x v="0"/>
    <n v="144154"/>
    <x v="93"/>
    <x v="1"/>
    <x v="1"/>
    <x v="2"/>
  </r>
  <r>
    <x v="2"/>
    <x v="0"/>
    <n v="301809"/>
    <x v="95"/>
    <x v="0"/>
    <x v="0"/>
    <x v="2"/>
  </r>
  <r>
    <x v="2"/>
    <x v="0"/>
    <n v="217081"/>
    <x v="13"/>
    <x v="1"/>
    <x v="1"/>
    <x v="2"/>
  </r>
  <r>
    <x v="2"/>
    <x v="0"/>
    <n v="144649"/>
    <x v="102"/>
    <x v="1"/>
    <x v="1"/>
    <x v="2"/>
  </r>
  <r>
    <x v="2"/>
    <x v="3"/>
    <n v="149445"/>
    <x v="99"/>
    <x v="1"/>
    <x v="1"/>
    <x v="2"/>
  </r>
  <r>
    <x v="2"/>
    <x v="0"/>
    <n v="169872"/>
    <x v="79"/>
    <x v="1"/>
    <x v="1"/>
    <x v="2"/>
  </r>
  <r>
    <x v="2"/>
    <x v="3"/>
    <n v="214951"/>
    <x v="78"/>
    <x v="1"/>
    <x v="1"/>
    <x v="2"/>
  </r>
  <r>
    <x v="2"/>
    <x v="0"/>
    <n v="216566"/>
    <x v="96"/>
    <x v="1"/>
    <x v="1"/>
    <x v="2"/>
  </r>
  <r>
    <x v="2"/>
    <x v="0"/>
    <n v="158311"/>
    <x v="60"/>
    <x v="1"/>
    <x v="1"/>
    <x v="2"/>
  </r>
  <r>
    <x v="2"/>
    <x v="0"/>
    <n v="301920"/>
    <x v="91"/>
    <x v="1"/>
    <x v="1"/>
    <x v="2"/>
  </r>
  <r>
    <x v="2"/>
    <x v="0"/>
    <n v="216476"/>
    <x v="94"/>
    <x v="1"/>
    <x v="1"/>
    <x v="2"/>
  </r>
  <r>
    <x v="2"/>
    <x v="0"/>
    <n v="158751"/>
    <x v="54"/>
    <x v="1"/>
    <x v="1"/>
    <x v="2"/>
  </r>
  <r>
    <x v="2"/>
    <x v="1"/>
    <n v="302335"/>
    <x v="70"/>
    <x v="0"/>
    <x v="0"/>
    <x v="2"/>
  </r>
  <r>
    <x v="2"/>
    <x v="3"/>
    <n v="160030"/>
    <x v="55"/>
    <x v="1"/>
    <x v="1"/>
    <x v="2"/>
  </r>
  <r>
    <x v="2"/>
    <x v="0"/>
    <n v="169537"/>
    <x v="81"/>
    <x v="1"/>
    <x v="1"/>
    <x v="2"/>
  </r>
  <r>
    <x v="2"/>
    <x v="0"/>
    <n v="301983"/>
    <x v="85"/>
    <x v="0"/>
    <x v="0"/>
    <x v="2"/>
  </r>
  <r>
    <x v="2"/>
    <x v="0"/>
    <n v="215020"/>
    <x v="72"/>
    <x v="1"/>
    <x v="1"/>
    <x v="2"/>
  </r>
  <r>
    <x v="2"/>
    <x v="4"/>
    <n v="161003"/>
    <x v="88"/>
    <x v="1"/>
    <x v="1"/>
    <x v="2"/>
  </r>
  <r>
    <x v="2"/>
    <x v="4"/>
    <n v="168458"/>
    <x v="75"/>
    <x v="1"/>
    <x v="1"/>
    <x v="2"/>
  </r>
  <r>
    <x v="2"/>
    <x v="1"/>
    <n v="215020"/>
    <x v="72"/>
    <x v="0"/>
    <x v="0"/>
    <x v="2"/>
  </r>
  <r>
    <x v="2"/>
    <x v="3"/>
    <n v="161520"/>
    <x v="77"/>
    <x v="1"/>
    <x v="1"/>
    <x v="2"/>
  </r>
  <r>
    <x v="2"/>
    <x v="0"/>
    <n v="301983"/>
    <x v="85"/>
    <x v="1"/>
    <x v="1"/>
    <x v="2"/>
  </r>
  <r>
    <x v="3"/>
    <x v="0"/>
    <n v="210515"/>
    <x v="43"/>
    <x v="2"/>
    <x v="2"/>
    <x v="3"/>
  </r>
  <r>
    <x v="3"/>
    <x v="0"/>
    <n v="117442"/>
    <x v="68"/>
    <x v="1"/>
    <x v="1"/>
    <x v="3"/>
  </r>
  <r>
    <x v="3"/>
    <x v="0"/>
    <n v="203631"/>
    <x v="71"/>
    <x v="2"/>
    <x v="2"/>
    <x v="3"/>
  </r>
  <r>
    <x v="3"/>
    <x v="0"/>
    <n v="301983"/>
    <x v="85"/>
    <x v="1"/>
    <x v="1"/>
    <x v="3"/>
  </r>
  <r>
    <x v="3"/>
    <x v="0"/>
    <n v="321932"/>
    <x v="23"/>
    <x v="1"/>
    <x v="1"/>
    <x v="3"/>
  </r>
  <r>
    <x v="3"/>
    <x v="3"/>
    <n v="161520"/>
    <x v="77"/>
    <x v="1"/>
    <x v="1"/>
    <x v="3"/>
  </r>
  <r>
    <x v="3"/>
    <x v="1"/>
    <n v="215020"/>
    <x v="72"/>
    <x v="0"/>
    <x v="0"/>
    <x v="3"/>
  </r>
  <r>
    <x v="3"/>
    <x v="0"/>
    <n v="207404"/>
    <x v="16"/>
    <x v="0"/>
    <x v="0"/>
    <x v="3"/>
  </r>
  <r>
    <x v="3"/>
    <x v="4"/>
    <n v="161003"/>
    <x v="88"/>
    <x v="1"/>
    <x v="1"/>
    <x v="3"/>
  </r>
  <r>
    <x v="3"/>
    <x v="4"/>
    <n v="168458"/>
    <x v="75"/>
    <x v="1"/>
    <x v="1"/>
    <x v="3"/>
  </r>
  <r>
    <x v="3"/>
    <x v="0"/>
    <n v="321932"/>
    <x v="23"/>
    <x v="2"/>
    <x v="2"/>
    <x v="3"/>
  </r>
  <r>
    <x v="3"/>
    <x v="0"/>
    <n v="215020"/>
    <x v="72"/>
    <x v="1"/>
    <x v="1"/>
    <x v="3"/>
  </r>
  <r>
    <x v="3"/>
    <x v="0"/>
    <n v="207404"/>
    <x v="16"/>
    <x v="2"/>
    <x v="2"/>
    <x v="3"/>
  </r>
  <r>
    <x v="3"/>
    <x v="0"/>
    <n v="217678"/>
    <x v="104"/>
    <x v="0"/>
    <x v="0"/>
    <x v="3"/>
  </r>
  <r>
    <x v="3"/>
    <x v="0"/>
    <n v="217678"/>
    <x v="104"/>
    <x v="2"/>
    <x v="2"/>
    <x v="3"/>
  </r>
  <r>
    <x v="3"/>
    <x v="0"/>
    <n v="206298"/>
    <x v="14"/>
    <x v="0"/>
    <x v="0"/>
    <x v="3"/>
  </r>
  <r>
    <x v="3"/>
    <x v="0"/>
    <n v="206298"/>
    <x v="14"/>
    <x v="2"/>
    <x v="2"/>
    <x v="3"/>
  </r>
  <r>
    <x v="3"/>
    <x v="0"/>
    <n v="301983"/>
    <x v="85"/>
    <x v="0"/>
    <x v="0"/>
    <x v="3"/>
  </r>
  <r>
    <x v="3"/>
    <x v="0"/>
    <n v="218732"/>
    <x v="29"/>
    <x v="2"/>
    <x v="2"/>
    <x v="3"/>
  </r>
  <r>
    <x v="3"/>
    <x v="3"/>
    <n v="160030"/>
    <x v="55"/>
    <x v="1"/>
    <x v="1"/>
    <x v="3"/>
  </r>
  <r>
    <x v="3"/>
    <x v="0"/>
    <n v="169537"/>
    <x v="81"/>
    <x v="1"/>
    <x v="1"/>
    <x v="3"/>
  </r>
  <r>
    <x v="3"/>
    <x v="0"/>
    <n v="158751"/>
    <x v="54"/>
    <x v="1"/>
    <x v="1"/>
    <x v="3"/>
  </r>
  <r>
    <x v="3"/>
    <x v="1"/>
    <n v="302335"/>
    <x v="70"/>
    <x v="0"/>
    <x v="0"/>
    <x v="3"/>
  </r>
  <r>
    <x v="3"/>
    <x v="0"/>
    <n v="218732"/>
    <x v="29"/>
    <x v="0"/>
    <x v="0"/>
    <x v="3"/>
  </r>
  <r>
    <x v="3"/>
    <x v="0"/>
    <n v="216476"/>
    <x v="94"/>
    <x v="1"/>
    <x v="1"/>
    <x v="3"/>
  </r>
  <r>
    <x v="3"/>
    <x v="0"/>
    <n v="213849"/>
    <x v="58"/>
    <x v="0"/>
    <x v="0"/>
    <x v="3"/>
  </r>
  <r>
    <x v="3"/>
    <x v="0"/>
    <n v="213849"/>
    <x v="58"/>
    <x v="2"/>
    <x v="2"/>
    <x v="3"/>
  </r>
  <r>
    <x v="3"/>
    <x v="0"/>
    <n v="300219"/>
    <x v="3"/>
    <x v="2"/>
    <x v="2"/>
    <x v="3"/>
  </r>
  <r>
    <x v="3"/>
    <x v="0"/>
    <n v="158751"/>
    <x v="54"/>
    <x v="0"/>
    <x v="0"/>
    <x v="3"/>
  </r>
  <r>
    <x v="3"/>
    <x v="0"/>
    <n v="158751"/>
    <x v="54"/>
    <x v="2"/>
    <x v="2"/>
    <x v="3"/>
  </r>
  <r>
    <x v="3"/>
    <x v="0"/>
    <n v="160030"/>
    <x v="55"/>
    <x v="0"/>
    <x v="0"/>
    <x v="3"/>
  </r>
  <r>
    <x v="3"/>
    <x v="0"/>
    <n v="160030"/>
    <x v="55"/>
    <x v="2"/>
    <x v="2"/>
    <x v="3"/>
  </r>
  <r>
    <x v="3"/>
    <x v="0"/>
    <n v="301920"/>
    <x v="91"/>
    <x v="1"/>
    <x v="1"/>
    <x v="3"/>
  </r>
  <r>
    <x v="3"/>
    <x v="0"/>
    <n v="206968"/>
    <x v="12"/>
    <x v="1"/>
    <x v="1"/>
    <x v="3"/>
  </r>
  <r>
    <x v="3"/>
    <x v="0"/>
    <n v="158311"/>
    <x v="60"/>
    <x v="1"/>
    <x v="1"/>
    <x v="3"/>
  </r>
  <r>
    <x v="3"/>
    <x v="0"/>
    <n v="206968"/>
    <x v="12"/>
    <x v="2"/>
    <x v="2"/>
    <x v="3"/>
  </r>
  <r>
    <x v="3"/>
    <x v="3"/>
    <n v="214951"/>
    <x v="78"/>
    <x v="1"/>
    <x v="1"/>
    <x v="3"/>
  </r>
  <r>
    <x v="3"/>
    <x v="0"/>
    <n v="216566"/>
    <x v="96"/>
    <x v="1"/>
    <x v="1"/>
    <x v="3"/>
  </r>
  <r>
    <x v="3"/>
    <x v="3"/>
    <n v="149445"/>
    <x v="99"/>
    <x v="1"/>
    <x v="1"/>
    <x v="3"/>
  </r>
  <r>
    <x v="3"/>
    <x v="0"/>
    <n v="169872"/>
    <x v="79"/>
    <x v="1"/>
    <x v="1"/>
    <x v="3"/>
  </r>
  <r>
    <x v="3"/>
    <x v="0"/>
    <n v="205228"/>
    <x v="44"/>
    <x v="0"/>
    <x v="0"/>
    <x v="3"/>
  </r>
  <r>
    <x v="3"/>
    <x v="0"/>
    <n v="205228"/>
    <x v="44"/>
    <x v="2"/>
    <x v="2"/>
    <x v="3"/>
  </r>
  <r>
    <x v="3"/>
    <x v="0"/>
    <n v="300987"/>
    <x v="59"/>
    <x v="0"/>
    <x v="0"/>
    <x v="3"/>
  </r>
  <r>
    <x v="3"/>
    <x v="0"/>
    <n v="300987"/>
    <x v="59"/>
    <x v="2"/>
    <x v="2"/>
    <x v="3"/>
  </r>
  <r>
    <x v="3"/>
    <x v="0"/>
    <n v="158311"/>
    <x v="60"/>
    <x v="0"/>
    <x v="0"/>
    <x v="3"/>
  </r>
  <r>
    <x v="3"/>
    <x v="0"/>
    <n v="158311"/>
    <x v="60"/>
    <x v="2"/>
    <x v="2"/>
    <x v="3"/>
  </r>
  <r>
    <x v="3"/>
    <x v="0"/>
    <n v="301809"/>
    <x v="95"/>
    <x v="0"/>
    <x v="0"/>
    <x v="3"/>
  </r>
  <r>
    <x v="3"/>
    <x v="0"/>
    <n v="144649"/>
    <x v="102"/>
    <x v="1"/>
    <x v="1"/>
    <x v="3"/>
  </r>
  <r>
    <x v="3"/>
    <x v="0"/>
    <n v="161003"/>
    <x v="88"/>
    <x v="2"/>
    <x v="2"/>
    <x v="3"/>
  </r>
  <r>
    <x v="3"/>
    <x v="0"/>
    <n v="161003"/>
    <x v="88"/>
    <x v="0"/>
    <x v="0"/>
    <x v="3"/>
  </r>
  <r>
    <x v="3"/>
    <x v="0"/>
    <n v="217081"/>
    <x v="13"/>
    <x v="1"/>
    <x v="1"/>
    <x v="3"/>
  </r>
  <r>
    <x v="3"/>
    <x v="0"/>
    <n v="117866"/>
    <x v="87"/>
    <x v="2"/>
    <x v="2"/>
    <x v="3"/>
  </r>
  <r>
    <x v="3"/>
    <x v="0"/>
    <n v="144154"/>
    <x v="93"/>
    <x v="1"/>
    <x v="1"/>
    <x v="3"/>
  </r>
  <r>
    <x v="3"/>
    <x v="0"/>
    <n v="117866"/>
    <x v="87"/>
    <x v="0"/>
    <x v="0"/>
    <x v="3"/>
  </r>
  <r>
    <x v="3"/>
    <x v="0"/>
    <n v="211415"/>
    <x v="50"/>
    <x v="0"/>
    <x v="0"/>
    <x v="3"/>
  </r>
  <r>
    <x v="3"/>
    <x v="0"/>
    <n v="211415"/>
    <x v="50"/>
    <x v="2"/>
    <x v="2"/>
    <x v="3"/>
  </r>
  <r>
    <x v="3"/>
    <x v="0"/>
    <n v="218623"/>
    <x v="65"/>
    <x v="2"/>
    <x v="2"/>
    <x v="3"/>
  </r>
  <r>
    <x v="3"/>
    <x v="0"/>
    <n v="218623"/>
    <x v="65"/>
    <x v="1"/>
    <x v="1"/>
    <x v="3"/>
  </r>
  <r>
    <x v="3"/>
    <x v="0"/>
    <n v="301805"/>
    <x v="64"/>
    <x v="2"/>
    <x v="2"/>
    <x v="3"/>
  </r>
  <r>
    <x v="3"/>
    <x v="0"/>
    <n v="301805"/>
    <x v="64"/>
    <x v="1"/>
    <x v="1"/>
    <x v="3"/>
  </r>
  <r>
    <x v="3"/>
    <x v="0"/>
    <n v="140302"/>
    <x v="100"/>
    <x v="1"/>
    <x v="1"/>
    <x v="3"/>
  </r>
  <r>
    <x v="3"/>
    <x v="0"/>
    <n v="203631"/>
    <x v="71"/>
    <x v="1"/>
    <x v="1"/>
    <x v="3"/>
  </r>
  <r>
    <x v="3"/>
    <x v="0"/>
    <n v="302335"/>
    <x v="70"/>
    <x v="1"/>
    <x v="1"/>
    <x v="3"/>
  </r>
  <r>
    <x v="3"/>
    <x v="0"/>
    <n v="217678"/>
    <x v="104"/>
    <x v="1"/>
    <x v="1"/>
    <x v="3"/>
  </r>
  <r>
    <x v="3"/>
    <x v="0"/>
    <n v="300862"/>
    <x v="66"/>
    <x v="0"/>
    <x v="0"/>
    <x v="3"/>
  </r>
  <r>
    <x v="3"/>
    <x v="0"/>
    <n v="301805"/>
    <x v="64"/>
    <x v="0"/>
    <x v="0"/>
    <x v="3"/>
  </r>
  <r>
    <x v="3"/>
    <x v="0"/>
    <n v="312259"/>
    <x v="28"/>
    <x v="2"/>
    <x v="2"/>
    <x v="3"/>
  </r>
  <r>
    <x v="3"/>
    <x v="4"/>
    <n v="131643"/>
    <x v="0"/>
    <x v="1"/>
    <x v="1"/>
    <x v="3"/>
  </r>
  <r>
    <x v="3"/>
    <x v="4"/>
    <n v="213849"/>
    <x v="58"/>
    <x v="1"/>
    <x v="1"/>
    <x v="3"/>
  </r>
  <r>
    <x v="3"/>
    <x v="0"/>
    <n v="300862"/>
    <x v="66"/>
    <x v="2"/>
    <x v="2"/>
    <x v="3"/>
  </r>
  <r>
    <x v="3"/>
    <x v="0"/>
    <n v="302737"/>
    <x v="52"/>
    <x v="2"/>
    <x v="2"/>
    <x v="3"/>
  </r>
  <r>
    <x v="3"/>
    <x v="0"/>
    <n v="117442"/>
    <x v="68"/>
    <x v="0"/>
    <x v="0"/>
    <x v="3"/>
  </r>
  <r>
    <x v="3"/>
    <x v="0"/>
    <n v="117442"/>
    <x v="68"/>
    <x v="2"/>
    <x v="2"/>
    <x v="3"/>
  </r>
  <r>
    <x v="3"/>
    <x v="0"/>
    <n v="130744"/>
    <x v="97"/>
    <x v="1"/>
    <x v="1"/>
    <x v="3"/>
  </r>
  <r>
    <x v="3"/>
    <x v="4"/>
    <n v="204615"/>
    <x v="67"/>
    <x v="1"/>
    <x v="1"/>
    <x v="3"/>
  </r>
  <r>
    <x v="3"/>
    <x v="0"/>
    <n v="218674"/>
    <x v="57"/>
    <x v="2"/>
    <x v="2"/>
    <x v="3"/>
  </r>
  <r>
    <x v="3"/>
    <x v="0"/>
    <n v="218210"/>
    <x v="69"/>
    <x v="0"/>
    <x v="0"/>
    <x v="3"/>
  </r>
  <r>
    <x v="3"/>
    <x v="0"/>
    <n v="206348"/>
    <x v="4"/>
    <x v="2"/>
    <x v="2"/>
    <x v="3"/>
  </r>
  <r>
    <x v="3"/>
    <x v="0"/>
    <n v="218210"/>
    <x v="69"/>
    <x v="2"/>
    <x v="2"/>
    <x v="3"/>
  </r>
  <r>
    <x v="3"/>
    <x v="0"/>
    <n v="218210"/>
    <x v="69"/>
    <x v="1"/>
    <x v="1"/>
    <x v="3"/>
  </r>
  <r>
    <x v="3"/>
    <x v="0"/>
    <n v="301760"/>
    <x v="89"/>
    <x v="1"/>
    <x v="1"/>
    <x v="3"/>
  </r>
  <r>
    <x v="3"/>
    <x v="0"/>
    <n v="218674"/>
    <x v="57"/>
    <x v="0"/>
    <x v="0"/>
    <x v="3"/>
  </r>
  <r>
    <x v="3"/>
    <x v="0"/>
    <n v="130744"/>
    <x v="97"/>
    <x v="0"/>
    <x v="0"/>
    <x v="3"/>
  </r>
  <r>
    <x v="3"/>
    <x v="0"/>
    <n v="210127"/>
    <x v="41"/>
    <x v="2"/>
    <x v="2"/>
    <x v="3"/>
  </r>
  <r>
    <x v="3"/>
    <x v="0"/>
    <n v="206708"/>
    <x v="7"/>
    <x v="2"/>
    <x v="2"/>
    <x v="3"/>
  </r>
  <r>
    <x v="3"/>
    <x v="0"/>
    <n v="207743"/>
    <x v="20"/>
    <x v="2"/>
    <x v="2"/>
    <x v="3"/>
  </r>
  <r>
    <x v="3"/>
    <x v="0"/>
    <n v="300571"/>
    <x v="18"/>
    <x v="2"/>
    <x v="2"/>
    <x v="3"/>
  </r>
  <r>
    <x v="3"/>
    <x v="0"/>
    <n v="120762"/>
    <x v="103"/>
    <x v="1"/>
    <x v="1"/>
    <x v="3"/>
  </r>
  <r>
    <x v="3"/>
    <x v="0"/>
    <n v="210127"/>
    <x v="41"/>
    <x v="0"/>
    <x v="0"/>
    <x v="3"/>
  </r>
  <r>
    <x v="3"/>
    <x v="0"/>
    <n v="205104"/>
    <x v="51"/>
    <x v="2"/>
    <x v="2"/>
    <x v="3"/>
  </r>
  <r>
    <x v="3"/>
    <x v="4"/>
    <n v="218225"/>
    <x v="1"/>
    <x v="1"/>
    <x v="1"/>
    <x v="3"/>
  </r>
  <r>
    <x v="3"/>
    <x v="0"/>
    <n v="131643"/>
    <x v="0"/>
    <x v="0"/>
    <x v="0"/>
    <x v="3"/>
  </r>
  <r>
    <x v="3"/>
    <x v="0"/>
    <n v="131643"/>
    <x v="0"/>
    <x v="2"/>
    <x v="2"/>
    <x v="3"/>
  </r>
  <r>
    <x v="3"/>
    <x v="0"/>
    <n v="215020"/>
    <x v="72"/>
    <x v="2"/>
    <x v="2"/>
    <x v="3"/>
  </r>
  <r>
    <x v="3"/>
    <x v="0"/>
    <n v="218225"/>
    <x v="1"/>
    <x v="0"/>
    <x v="0"/>
    <x v="3"/>
  </r>
  <r>
    <x v="3"/>
    <x v="0"/>
    <n v="301760"/>
    <x v="89"/>
    <x v="0"/>
    <x v="0"/>
    <x v="3"/>
  </r>
  <r>
    <x v="3"/>
    <x v="0"/>
    <n v="205104"/>
    <x v="51"/>
    <x v="0"/>
    <x v="0"/>
    <x v="3"/>
  </r>
  <r>
    <x v="3"/>
    <x v="0"/>
    <n v="120762"/>
    <x v="103"/>
    <x v="0"/>
    <x v="0"/>
    <x v="3"/>
  </r>
  <r>
    <x v="3"/>
    <x v="0"/>
    <n v="211622"/>
    <x v="82"/>
    <x v="0"/>
    <x v="0"/>
    <x v="3"/>
  </r>
  <r>
    <x v="3"/>
    <x v="0"/>
    <n v="218225"/>
    <x v="1"/>
    <x v="2"/>
    <x v="2"/>
    <x v="3"/>
  </r>
  <r>
    <x v="3"/>
    <x v="0"/>
    <n v="118535"/>
    <x v="90"/>
    <x v="1"/>
    <x v="1"/>
    <x v="3"/>
  </r>
  <r>
    <x v="3"/>
    <x v="0"/>
    <n v="204939"/>
    <x v="61"/>
    <x v="1"/>
    <x v="1"/>
    <x v="3"/>
  </r>
  <r>
    <x v="3"/>
    <x v="0"/>
    <n v="204952"/>
    <x v="56"/>
    <x v="1"/>
    <x v="1"/>
    <x v="3"/>
  </r>
  <r>
    <x v="3"/>
    <x v="0"/>
    <n v="218402"/>
    <x v="101"/>
    <x v="1"/>
    <x v="1"/>
    <x v="3"/>
  </r>
  <r>
    <x v="3"/>
    <x v="0"/>
    <n v="218628"/>
    <x v="76"/>
    <x v="2"/>
    <x v="2"/>
    <x v="3"/>
  </r>
  <r>
    <x v="3"/>
    <x v="0"/>
    <n v="168458"/>
    <x v="75"/>
    <x v="0"/>
    <x v="0"/>
    <x v="3"/>
  </r>
  <r>
    <x v="3"/>
    <x v="0"/>
    <n v="168458"/>
    <x v="75"/>
    <x v="2"/>
    <x v="2"/>
    <x v="3"/>
  </r>
  <r>
    <x v="3"/>
    <x v="0"/>
    <n v="117456"/>
    <x v="80"/>
    <x v="0"/>
    <x v="0"/>
    <x v="3"/>
  </r>
  <r>
    <x v="3"/>
    <x v="0"/>
    <n v="117456"/>
    <x v="80"/>
    <x v="2"/>
    <x v="2"/>
    <x v="3"/>
  </r>
  <r>
    <x v="3"/>
    <x v="0"/>
    <n v="301229"/>
    <x v="98"/>
    <x v="0"/>
    <x v="0"/>
    <x v="3"/>
  </r>
  <r>
    <x v="3"/>
    <x v="0"/>
    <n v="302737"/>
    <x v="52"/>
    <x v="0"/>
    <x v="0"/>
    <x v="3"/>
  </r>
  <r>
    <x v="3"/>
    <x v="0"/>
    <n v="117986"/>
    <x v="92"/>
    <x v="1"/>
    <x v="1"/>
    <x v="3"/>
  </r>
  <r>
    <x v="3"/>
    <x v="3"/>
    <n v="211470"/>
    <x v="53"/>
    <x v="1"/>
    <x v="1"/>
    <x v="3"/>
  </r>
  <r>
    <x v="3"/>
    <x v="5"/>
    <n v="117986"/>
    <x v="92"/>
    <x v="2"/>
    <x v="2"/>
    <x v="3"/>
  </r>
  <r>
    <x v="3"/>
    <x v="3"/>
    <n v="302737"/>
    <x v="52"/>
    <x v="1"/>
    <x v="1"/>
    <x v="3"/>
  </r>
  <r>
    <x v="3"/>
    <x v="0"/>
    <n v="211415"/>
    <x v="50"/>
    <x v="1"/>
    <x v="1"/>
    <x v="3"/>
  </r>
  <r>
    <x v="3"/>
    <x v="0"/>
    <n v="218616"/>
    <x v="86"/>
    <x v="1"/>
    <x v="1"/>
    <x v="3"/>
  </r>
  <r>
    <x v="3"/>
    <x v="0"/>
    <n v="161520"/>
    <x v="77"/>
    <x v="0"/>
    <x v="0"/>
    <x v="3"/>
  </r>
  <r>
    <x v="3"/>
    <x v="0"/>
    <n v="161520"/>
    <x v="77"/>
    <x v="2"/>
    <x v="2"/>
    <x v="3"/>
  </r>
  <r>
    <x v="3"/>
    <x v="0"/>
    <n v="205349"/>
    <x v="39"/>
    <x v="0"/>
    <x v="0"/>
    <x v="3"/>
  </r>
  <r>
    <x v="3"/>
    <x v="0"/>
    <n v="205349"/>
    <x v="39"/>
    <x v="2"/>
    <x v="2"/>
    <x v="3"/>
  </r>
  <r>
    <x v="3"/>
    <x v="0"/>
    <n v="300169"/>
    <x v="5"/>
    <x v="2"/>
    <x v="2"/>
    <x v="3"/>
  </r>
  <r>
    <x v="3"/>
    <x v="0"/>
    <n v="316646"/>
    <x v="6"/>
    <x v="2"/>
    <x v="2"/>
    <x v="3"/>
  </r>
  <r>
    <x v="3"/>
    <x v="0"/>
    <n v="117230"/>
    <x v="73"/>
    <x v="0"/>
    <x v="0"/>
    <x v="3"/>
  </r>
  <r>
    <x v="3"/>
    <x v="3"/>
    <n v="300987"/>
    <x v="59"/>
    <x v="1"/>
    <x v="1"/>
    <x v="3"/>
  </r>
  <r>
    <x v="3"/>
    <x v="3"/>
    <n v="205104"/>
    <x v="51"/>
    <x v="1"/>
    <x v="1"/>
    <x v="3"/>
  </r>
  <r>
    <x v="3"/>
    <x v="0"/>
    <n v="117986"/>
    <x v="92"/>
    <x v="0"/>
    <x v="0"/>
    <x v="3"/>
  </r>
  <r>
    <x v="3"/>
    <x v="4"/>
    <n v="302769"/>
    <x v="49"/>
    <x v="1"/>
    <x v="1"/>
    <x v="3"/>
  </r>
  <r>
    <x v="3"/>
    <x v="3"/>
    <n v="117866"/>
    <x v="87"/>
    <x v="1"/>
    <x v="1"/>
    <x v="3"/>
  </r>
  <r>
    <x v="3"/>
    <x v="2"/>
    <n v="210557"/>
    <x v="47"/>
    <x v="1"/>
    <x v="1"/>
    <x v="3"/>
  </r>
  <r>
    <x v="3"/>
    <x v="0"/>
    <n v="218623"/>
    <x v="65"/>
    <x v="0"/>
    <x v="0"/>
    <x v="3"/>
  </r>
  <r>
    <x v="3"/>
    <x v="1"/>
    <n v="324108"/>
    <x v="35"/>
    <x v="1"/>
    <x v="1"/>
    <x v="3"/>
  </r>
  <r>
    <x v="3"/>
    <x v="0"/>
    <n v="117230"/>
    <x v="73"/>
    <x v="2"/>
    <x v="2"/>
    <x v="3"/>
  </r>
  <r>
    <x v="3"/>
    <x v="0"/>
    <n v="210557"/>
    <x v="47"/>
    <x v="0"/>
    <x v="0"/>
    <x v="3"/>
  </r>
  <r>
    <x v="3"/>
    <x v="0"/>
    <n v="210557"/>
    <x v="47"/>
    <x v="2"/>
    <x v="2"/>
    <x v="3"/>
  </r>
  <r>
    <x v="3"/>
    <x v="0"/>
    <n v="169872"/>
    <x v="79"/>
    <x v="0"/>
    <x v="0"/>
    <x v="3"/>
  </r>
  <r>
    <x v="3"/>
    <x v="0"/>
    <n v="169872"/>
    <x v="79"/>
    <x v="2"/>
    <x v="2"/>
    <x v="3"/>
  </r>
  <r>
    <x v="3"/>
    <x v="3"/>
    <n v="117819"/>
    <x v="83"/>
    <x v="1"/>
    <x v="1"/>
    <x v="3"/>
  </r>
  <r>
    <x v="3"/>
    <x v="0"/>
    <n v="302856"/>
    <x v="46"/>
    <x v="0"/>
    <x v="0"/>
    <x v="3"/>
  </r>
  <r>
    <x v="3"/>
    <x v="0"/>
    <n v="210515"/>
    <x v="43"/>
    <x v="1"/>
    <x v="1"/>
    <x v="3"/>
  </r>
  <r>
    <x v="3"/>
    <x v="3"/>
    <n v="218628"/>
    <x v="76"/>
    <x v="0"/>
    <x v="0"/>
    <x v="3"/>
  </r>
  <r>
    <x v="3"/>
    <x v="0"/>
    <n v="208277"/>
    <x v="25"/>
    <x v="2"/>
    <x v="2"/>
    <x v="3"/>
  </r>
  <r>
    <x v="3"/>
    <x v="4"/>
    <n v="300862"/>
    <x v="66"/>
    <x v="1"/>
    <x v="1"/>
    <x v="3"/>
  </r>
  <r>
    <x v="3"/>
    <x v="5"/>
    <n v="302988"/>
    <x v="45"/>
    <x v="1"/>
    <x v="1"/>
    <x v="3"/>
  </r>
  <r>
    <x v="3"/>
    <x v="0"/>
    <n v="117501"/>
    <x v="84"/>
    <x v="1"/>
    <x v="1"/>
    <x v="3"/>
  </r>
  <r>
    <x v="3"/>
    <x v="0"/>
    <n v="210515"/>
    <x v="43"/>
    <x v="0"/>
    <x v="0"/>
    <x v="3"/>
  </r>
  <r>
    <x v="3"/>
    <x v="0"/>
    <n v="211622"/>
    <x v="82"/>
    <x v="2"/>
    <x v="2"/>
    <x v="3"/>
  </r>
  <r>
    <x v="3"/>
    <x v="0"/>
    <n v="211622"/>
    <x v="82"/>
    <x v="1"/>
    <x v="1"/>
    <x v="3"/>
  </r>
  <r>
    <x v="3"/>
    <x v="0"/>
    <n v="311895"/>
    <x v="34"/>
    <x v="0"/>
    <x v="0"/>
    <x v="3"/>
  </r>
  <r>
    <x v="3"/>
    <x v="0"/>
    <n v="311895"/>
    <x v="34"/>
    <x v="2"/>
    <x v="2"/>
    <x v="3"/>
  </r>
  <r>
    <x v="3"/>
    <x v="0"/>
    <n v="117456"/>
    <x v="80"/>
    <x v="1"/>
    <x v="1"/>
    <x v="3"/>
  </r>
  <r>
    <x v="3"/>
    <x v="0"/>
    <n v="205228"/>
    <x v="44"/>
    <x v="1"/>
    <x v="1"/>
    <x v="3"/>
  </r>
  <r>
    <x v="3"/>
    <x v="1"/>
    <n v="324108"/>
    <x v="35"/>
    <x v="2"/>
    <x v="2"/>
    <x v="3"/>
  </r>
  <r>
    <x v="3"/>
    <x v="3"/>
    <n v="218628"/>
    <x v="76"/>
    <x v="1"/>
    <x v="1"/>
    <x v="3"/>
  </r>
  <r>
    <x v="3"/>
    <x v="0"/>
    <n v="211470"/>
    <x v="53"/>
    <x v="0"/>
    <x v="0"/>
    <x v="3"/>
  </r>
  <r>
    <x v="3"/>
    <x v="0"/>
    <n v="211470"/>
    <x v="53"/>
    <x v="2"/>
    <x v="2"/>
    <x v="3"/>
  </r>
  <r>
    <x v="3"/>
    <x v="0"/>
    <n v="300711"/>
    <x v="74"/>
    <x v="1"/>
    <x v="1"/>
    <x v="3"/>
  </r>
  <r>
    <x v="3"/>
    <x v="0"/>
    <n v="203631"/>
    <x v="71"/>
    <x v="0"/>
    <x v="0"/>
    <x v="3"/>
  </r>
  <r>
    <x v="3"/>
    <x v="0"/>
    <n v="303189"/>
    <x v="42"/>
    <x v="1"/>
    <x v="1"/>
    <x v="3"/>
  </r>
  <r>
    <x v="3"/>
    <x v="3"/>
    <n v="210127"/>
    <x v="41"/>
    <x v="1"/>
    <x v="1"/>
    <x v="3"/>
  </r>
  <r>
    <x v="3"/>
    <x v="3"/>
    <n v="303219"/>
    <x v="40"/>
    <x v="1"/>
    <x v="1"/>
    <x v="3"/>
  </r>
  <r>
    <x v="3"/>
    <x v="0"/>
    <n v="117230"/>
    <x v="73"/>
    <x v="1"/>
    <x v="1"/>
    <x v="3"/>
  </r>
  <r>
    <x v="3"/>
    <x v="0"/>
    <n v="302856"/>
    <x v="46"/>
    <x v="2"/>
    <x v="2"/>
    <x v="3"/>
  </r>
  <r>
    <x v="3"/>
    <x v="0"/>
    <n v="210001"/>
    <x v="36"/>
    <x v="1"/>
    <x v="1"/>
    <x v="3"/>
  </r>
  <r>
    <x v="3"/>
    <x v="0"/>
    <n v="2737"/>
    <x v="62"/>
    <x v="1"/>
    <x v="1"/>
    <x v="3"/>
  </r>
  <r>
    <x v="3"/>
    <x v="4"/>
    <n v="205349"/>
    <x v="39"/>
    <x v="1"/>
    <x v="1"/>
    <x v="3"/>
  </r>
  <r>
    <x v="3"/>
    <x v="1"/>
    <n v="218644"/>
    <x v="63"/>
    <x v="0"/>
    <x v="0"/>
    <x v="3"/>
  </r>
  <r>
    <x v="3"/>
    <x v="0"/>
    <n v="302856"/>
    <x v="46"/>
    <x v="1"/>
    <x v="1"/>
    <x v="3"/>
  </r>
  <r>
    <x v="3"/>
    <x v="0"/>
    <n v="686"/>
    <x v="26"/>
    <x v="0"/>
    <x v="0"/>
    <x v="3"/>
  </r>
  <r>
    <x v="3"/>
    <x v="0"/>
    <n v="686"/>
    <x v="26"/>
    <x v="2"/>
    <x v="2"/>
    <x v="3"/>
  </r>
  <r>
    <x v="3"/>
    <x v="0"/>
    <n v="117819"/>
    <x v="83"/>
    <x v="0"/>
    <x v="0"/>
    <x v="3"/>
  </r>
  <r>
    <x v="3"/>
    <x v="0"/>
    <n v="117819"/>
    <x v="83"/>
    <x v="2"/>
    <x v="2"/>
    <x v="3"/>
  </r>
  <r>
    <x v="3"/>
    <x v="0"/>
    <n v="300571"/>
    <x v="18"/>
    <x v="1"/>
    <x v="1"/>
    <x v="3"/>
  </r>
  <r>
    <x v="3"/>
    <x v="5"/>
    <n v="303221"/>
    <x v="38"/>
    <x v="1"/>
    <x v="1"/>
    <x v="3"/>
  </r>
  <r>
    <x v="3"/>
    <x v="0"/>
    <n v="210001"/>
    <x v="36"/>
    <x v="0"/>
    <x v="0"/>
    <x v="3"/>
  </r>
  <r>
    <x v="3"/>
    <x v="0"/>
    <n v="2737"/>
    <x v="62"/>
    <x v="0"/>
    <x v="0"/>
    <x v="3"/>
  </r>
  <r>
    <x v="3"/>
    <x v="1"/>
    <n v="324108"/>
    <x v="35"/>
    <x v="0"/>
    <x v="0"/>
    <x v="3"/>
  </r>
  <r>
    <x v="3"/>
    <x v="0"/>
    <n v="1733"/>
    <x v="37"/>
    <x v="1"/>
    <x v="1"/>
    <x v="3"/>
  </r>
  <r>
    <x v="3"/>
    <x v="0"/>
    <n v="323608"/>
    <x v="31"/>
    <x v="1"/>
    <x v="1"/>
    <x v="3"/>
  </r>
  <r>
    <x v="3"/>
    <x v="1"/>
    <n v="218644"/>
    <x v="63"/>
    <x v="1"/>
    <x v="1"/>
    <x v="3"/>
  </r>
  <r>
    <x v="3"/>
    <x v="0"/>
    <n v="209208"/>
    <x v="30"/>
    <x v="0"/>
    <x v="0"/>
    <x v="3"/>
  </r>
  <r>
    <x v="3"/>
    <x v="0"/>
    <n v="209208"/>
    <x v="30"/>
    <x v="2"/>
    <x v="2"/>
    <x v="3"/>
  </r>
  <r>
    <x v="3"/>
    <x v="0"/>
    <n v="218616"/>
    <x v="86"/>
    <x v="0"/>
    <x v="0"/>
    <x v="3"/>
  </r>
  <r>
    <x v="3"/>
    <x v="0"/>
    <n v="204952"/>
    <x v="56"/>
    <x v="2"/>
    <x v="2"/>
    <x v="3"/>
  </r>
  <r>
    <x v="3"/>
    <x v="0"/>
    <n v="204952"/>
    <x v="56"/>
    <x v="0"/>
    <x v="0"/>
    <x v="3"/>
  </r>
  <r>
    <x v="3"/>
    <x v="0"/>
    <n v="214951"/>
    <x v="78"/>
    <x v="2"/>
    <x v="2"/>
    <x v="3"/>
  </r>
  <r>
    <x v="3"/>
    <x v="0"/>
    <n v="214951"/>
    <x v="78"/>
    <x v="0"/>
    <x v="0"/>
    <x v="3"/>
  </r>
  <r>
    <x v="3"/>
    <x v="0"/>
    <n v="209209"/>
    <x v="32"/>
    <x v="2"/>
    <x v="2"/>
    <x v="3"/>
  </r>
  <r>
    <x v="3"/>
    <x v="0"/>
    <n v="209209"/>
    <x v="32"/>
    <x v="0"/>
    <x v="0"/>
    <x v="3"/>
  </r>
  <r>
    <x v="3"/>
    <x v="0"/>
    <n v="209211"/>
    <x v="33"/>
    <x v="1"/>
    <x v="1"/>
    <x v="3"/>
  </r>
  <r>
    <x v="3"/>
    <x v="4"/>
    <n v="1733"/>
    <x v="37"/>
    <x v="2"/>
    <x v="2"/>
    <x v="3"/>
  </r>
  <r>
    <x v="3"/>
    <x v="0"/>
    <n v="311895"/>
    <x v="34"/>
    <x v="1"/>
    <x v="1"/>
    <x v="3"/>
  </r>
  <r>
    <x v="3"/>
    <x v="5"/>
    <n v="218674"/>
    <x v="57"/>
    <x v="1"/>
    <x v="1"/>
    <x v="3"/>
  </r>
  <r>
    <x v="3"/>
    <x v="0"/>
    <n v="218616"/>
    <x v="86"/>
    <x v="2"/>
    <x v="2"/>
    <x v="3"/>
  </r>
  <r>
    <x v="3"/>
    <x v="0"/>
    <n v="323608"/>
    <x v="31"/>
    <x v="2"/>
    <x v="2"/>
    <x v="3"/>
  </r>
  <r>
    <x v="3"/>
    <x v="0"/>
    <n v="209211"/>
    <x v="33"/>
    <x v="0"/>
    <x v="0"/>
    <x v="3"/>
  </r>
  <r>
    <x v="3"/>
    <x v="0"/>
    <n v="206236"/>
    <x v="22"/>
    <x v="2"/>
    <x v="2"/>
    <x v="3"/>
  </r>
  <r>
    <x v="3"/>
    <x v="0"/>
    <n v="206236"/>
    <x v="22"/>
    <x v="0"/>
    <x v="0"/>
    <x v="3"/>
  </r>
  <r>
    <x v="3"/>
    <x v="0"/>
    <n v="218916"/>
    <x v="17"/>
    <x v="2"/>
    <x v="2"/>
    <x v="3"/>
  </r>
  <r>
    <x v="3"/>
    <x v="0"/>
    <n v="218916"/>
    <x v="17"/>
    <x v="0"/>
    <x v="0"/>
    <x v="3"/>
  </r>
  <r>
    <x v="3"/>
    <x v="0"/>
    <n v="217081"/>
    <x v="13"/>
    <x v="2"/>
    <x v="2"/>
    <x v="3"/>
  </r>
  <r>
    <x v="3"/>
    <x v="0"/>
    <n v="217081"/>
    <x v="13"/>
    <x v="0"/>
    <x v="0"/>
    <x v="3"/>
  </r>
  <r>
    <x v="3"/>
    <x v="3"/>
    <n v="205985"/>
    <x v="27"/>
    <x v="0"/>
    <x v="0"/>
    <x v="3"/>
  </r>
  <r>
    <x v="3"/>
    <x v="0"/>
    <n v="1733"/>
    <x v="37"/>
    <x v="0"/>
    <x v="0"/>
    <x v="3"/>
  </r>
  <r>
    <x v="3"/>
    <x v="4"/>
    <n v="209209"/>
    <x v="32"/>
    <x v="1"/>
    <x v="1"/>
    <x v="3"/>
  </r>
  <r>
    <x v="3"/>
    <x v="0"/>
    <n v="218698"/>
    <x v="48"/>
    <x v="1"/>
    <x v="1"/>
    <x v="3"/>
  </r>
  <r>
    <x v="3"/>
    <x v="0"/>
    <n v="300571"/>
    <x v="18"/>
    <x v="0"/>
    <x v="0"/>
    <x v="3"/>
  </r>
  <r>
    <x v="3"/>
    <x v="0"/>
    <n v="323608"/>
    <x v="31"/>
    <x v="0"/>
    <x v="0"/>
    <x v="3"/>
  </r>
  <r>
    <x v="3"/>
    <x v="0"/>
    <n v="312259"/>
    <x v="28"/>
    <x v="0"/>
    <x v="0"/>
    <x v="3"/>
  </r>
  <r>
    <x v="3"/>
    <x v="0"/>
    <n v="149445"/>
    <x v="99"/>
    <x v="2"/>
    <x v="2"/>
    <x v="3"/>
  </r>
  <r>
    <x v="3"/>
    <x v="0"/>
    <n v="149445"/>
    <x v="99"/>
    <x v="0"/>
    <x v="0"/>
    <x v="3"/>
  </r>
  <r>
    <x v="3"/>
    <x v="0"/>
    <n v="314137"/>
    <x v="19"/>
    <x v="1"/>
    <x v="1"/>
    <x v="3"/>
  </r>
  <r>
    <x v="3"/>
    <x v="0"/>
    <n v="314137"/>
    <x v="19"/>
    <x v="2"/>
    <x v="2"/>
    <x v="3"/>
  </r>
  <r>
    <x v="3"/>
    <x v="0"/>
    <n v="169537"/>
    <x v="81"/>
    <x v="2"/>
    <x v="2"/>
    <x v="3"/>
  </r>
  <r>
    <x v="3"/>
    <x v="0"/>
    <n v="169537"/>
    <x v="81"/>
    <x v="0"/>
    <x v="0"/>
    <x v="3"/>
  </r>
  <r>
    <x v="3"/>
    <x v="0"/>
    <n v="686"/>
    <x v="26"/>
    <x v="1"/>
    <x v="1"/>
    <x v="3"/>
  </r>
  <r>
    <x v="3"/>
    <x v="0"/>
    <n v="209208"/>
    <x v="30"/>
    <x v="1"/>
    <x v="1"/>
    <x v="3"/>
  </r>
  <r>
    <x v="3"/>
    <x v="0"/>
    <n v="312259"/>
    <x v="28"/>
    <x v="1"/>
    <x v="1"/>
    <x v="3"/>
  </r>
  <r>
    <x v="3"/>
    <x v="0"/>
    <n v="218732"/>
    <x v="29"/>
    <x v="1"/>
    <x v="1"/>
    <x v="3"/>
  </r>
  <r>
    <x v="3"/>
    <x v="3"/>
    <n v="507"/>
    <x v="9"/>
    <x v="1"/>
    <x v="1"/>
    <x v="3"/>
  </r>
  <r>
    <x v="3"/>
    <x v="0"/>
    <n v="209211"/>
    <x v="33"/>
    <x v="2"/>
    <x v="2"/>
    <x v="3"/>
  </r>
  <r>
    <x v="3"/>
    <x v="0"/>
    <n v="312617"/>
    <x v="24"/>
    <x v="2"/>
    <x v="2"/>
    <x v="3"/>
  </r>
  <r>
    <x v="3"/>
    <x v="0"/>
    <n v="144649"/>
    <x v="102"/>
    <x v="2"/>
    <x v="2"/>
    <x v="3"/>
  </r>
  <r>
    <x v="3"/>
    <x v="0"/>
    <n v="144649"/>
    <x v="102"/>
    <x v="0"/>
    <x v="0"/>
    <x v="3"/>
  </r>
  <r>
    <x v="3"/>
    <x v="0"/>
    <n v="216476"/>
    <x v="94"/>
    <x v="2"/>
    <x v="2"/>
    <x v="3"/>
  </r>
  <r>
    <x v="3"/>
    <x v="0"/>
    <n v="216476"/>
    <x v="94"/>
    <x v="0"/>
    <x v="0"/>
    <x v="3"/>
  </r>
  <r>
    <x v="3"/>
    <x v="0"/>
    <n v="204615"/>
    <x v="67"/>
    <x v="2"/>
    <x v="2"/>
    <x v="3"/>
  </r>
  <r>
    <x v="3"/>
    <x v="0"/>
    <n v="204615"/>
    <x v="67"/>
    <x v="0"/>
    <x v="0"/>
    <x v="3"/>
  </r>
  <r>
    <x v="3"/>
    <x v="0"/>
    <n v="208277"/>
    <x v="25"/>
    <x v="1"/>
    <x v="1"/>
    <x v="3"/>
  </r>
  <r>
    <x v="3"/>
    <x v="0"/>
    <n v="205985"/>
    <x v="27"/>
    <x v="1"/>
    <x v="1"/>
    <x v="3"/>
  </r>
  <r>
    <x v="3"/>
    <x v="0"/>
    <n v="312617"/>
    <x v="24"/>
    <x v="0"/>
    <x v="0"/>
    <x v="3"/>
  </r>
  <r>
    <x v="3"/>
    <x v="0"/>
    <n v="218916"/>
    <x v="17"/>
    <x v="1"/>
    <x v="1"/>
    <x v="3"/>
  </r>
  <r>
    <x v="3"/>
    <x v="0"/>
    <n v="300711"/>
    <x v="74"/>
    <x v="0"/>
    <x v="0"/>
    <x v="3"/>
  </r>
  <r>
    <x v="3"/>
    <x v="4"/>
    <n v="300363"/>
    <x v="11"/>
    <x v="0"/>
    <x v="0"/>
    <x v="3"/>
  </r>
  <r>
    <x v="3"/>
    <x v="0"/>
    <n v="208277"/>
    <x v="25"/>
    <x v="0"/>
    <x v="0"/>
    <x v="3"/>
  </r>
  <r>
    <x v="3"/>
    <x v="0"/>
    <n v="205985"/>
    <x v="27"/>
    <x v="2"/>
    <x v="2"/>
    <x v="3"/>
  </r>
  <r>
    <x v="3"/>
    <x v="0"/>
    <n v="218644"/>
    <x v="63"/>
    <x v="2"/>
    <x v="2"/>
    <x v="3"/>
  </r>
  <r>
    <x v="3"/>
    <x v="0"/>
    <n v="301983"/>
    <x v="85"/>
    <x v="2"/>
    <x v="2"/>
    <x v="3"/>
  </r>
  <r>
    <x v="3"/>
    <x v="0"/>
    <n v="302988"/>
    <x v="45"/>
    <x v="2"/>
    <x v="2"/>
    <x v="3"/>
  </r>
  <r>
    <x v="3"/>
    <x v="0"/>
    <n v="302988"/>
    <x v="45"/>
    <x v="0"/>
    <x v="0"/>
    <x v="3"/>
  </r>
  <r>
    <x v="3"/>
    <x v="0"/>
    <n v="315199"/>
    <x v="15"/>
    <x v="2"/>
    <x v="2"/>
    <x v="3"/>
  </r>
  <r>
    <x v="3"/>
    <x v="0"/>
    <n v="315199"/>
    <x v="15"/>
    <x v="0"/>
    <x v="0"/>
    <x v="3"/>
  </r>
  <r>
    <x v="3"/>
    <x v="0"/>
    <n v="321932"/>
    <x v="23"/>
    <x v="0"/>
    <x v="0"/>
    <x v="3"/>
  </r>
  <r>
    <x v="3"/>
    <x v="0"/>
    <n v="312617"/>
    <x v="24"/>
    <x v="1"/>
    <x v="1"/>
    <x v="3"/>
  </r>
  <r>
    <x v="3"/>
    <x v="3"/>
    <n v="207743"/>
    <x v="20"/>
    <x v="1"/>
    <x v="1"/>
    <x v="3"/>
  </r>
  <r>
    <x v="3"/>
    <x v="1"/>
    <n v="218987"/>
    <x v="8"/>
    <x v="0"/>
    <x v="0"/>
    <x v="3"/>
  </r>
  <r>
    <x v="3"/>
    <x v="3"/>
    <n v="206236"/>
    <x v="22"/>
    <x v="1"/>
    <x v="1"/>
    <x v="3"/>
  </r>
  <r>
    <x v="3"/>
    <x v="0"/>
    <n v="312807"/>
    <x v="21"/>
    <x v="0"/>
    <x v="0"/>
    <x v="3"/>
  </r>
  <r>
    <x v="3"/>
    <x v="0"/>
    <n v="300711"/>
    <x v="74"/>
    <x v="2"/>
    <x v="2"/>
    <x v="3"/>
  </r>
  <r>
    <x v="3"/>
    <x v="0"/>
    <n v="218402"/>
    <x v="101"/>
    <x v="2"/>
    <x v="2"/>
    <x v="3"/>
  </r>
  <r>
    <x v="3"/>
    <x v="0"/>
    <n v="218402"/>
    <x v="101"/>
    <x v="0"/>
    <x v="0"/>
    <x v="3"/>
  </r>
  <r>
    <x v="3"/>
    <x v="0"/>
    <n v="218698"/>
    <x v="48"/>
    <x v="2"/>
    <x v="2"/>
    <x v="3"/>
  </r>
  <r>
    <x v="3"/>
    <x v="0"/>
    <n v="218698"/>
    <x v="48"/>
    <x v="0"/>
    <x v="0"/>
    <x v="3"/>
  </r>
  <r>
    <x v="3"/>
    <x v="0"/>
    <n v="140302"/>
    <x v="100"/>
    <x v="2"/>
    <x v="2"/>
    <x v="3"/>
  </r>
  <r>
    <x v="3"/>
    <x v="0"/>
    <n v="140302"/>
    <x v="100"/>
    <x v="0"/>
    <x v="0"/>
    <x v="3"/>
  </r>
  <r>
    <x v="3"/>
    <x v="0"/>
    <n v="302335"/>
    <x v="70"/>
    <x v="2"/>
    <x v="2"/>
    <x v="3"/>
  </r>
  <r>
    <x v="3"/>
    <x v="3"/>
    <n v="507"/>
    <x v="9"/>
    <x v="2"/>
    <x v="2"/>
    <x v="3"/>
  </r>
  <r>
    <x v="3"/>
    <x v="0"/>
    <n v="207743"/>
    <x v="20"/>
    <x v="0"/>
    <x v="0"/>
    <x v="3"/>
  </r>
  <r>
    <x v="3"/>
    <x v="0"/>
    <n v="317470"/>
    <x v="10"/>
    <x v="1"/>
    <x v="1"/>
    <x v="3"/>
  </r>
  <r>
    <x v="3"/>
    <x v="1"/>
    <n v="218987"/>
    <x v="8"/>
    <x v="2"/>
    <x v="2"/>
    <x v="3"/>
  </r>
  <r>
    <x v="3"/>
    <x v="0"/>
    <n v="301760"/>
    <x v="89"/>
    <x v="2"/>
    <x v="2"/>
    <x v="3"/>
  </r>
  <r>
    <x v="3"/>
    <x v="0"/>
    <n v="316879"/>
    <x v="2"/>
    <x v="2"/>
    <x v="2"/>
    <x v="3"/>
  </r>
  <r>
    <x v="3"/>
    <x v="0"/>
    <n v="316879"/>
    <x v="2"/>
    <x v="1"/>
    <x v="1"/>
    <x v="3"/>
  </r>
  <r>
    <x v="3"/>
    <x v="0"/>
    <n v="301229"/>
    <x v="98"/>
    <x v="1"/>
    <x v="1"/>
    <x v="3"/>
  </r>
  <r>
    <x v="3"/>
    <x v="0"/>
    <n v="301229"/>
    <x v="98"/>
    <x v="2"/>
    <x v="2"/>
    <x v="3"/>
  </r>
  <r>
    <x v="3"/>
    <x v="0"/>
    <n v="130744"/>
    <x v="97"/>
    <x v="2"/>
    <x v="2"/>
    <x v="3"/>
  </r>
  <r>
    <x v="3"/>
    <x v="0"/>
    <n v="117501"/>
    <x v="84"/>
    <x v="2"/>
    <x v="2"/>
    <x v="3"/>
  </r>
  <r>
    <x v="3"/>
    <x v="0"/>
    <n v="117501"/>
    <x v="84"/>
    <x v="0"/>
    <x v="0"/>
    <x v="3"/>
  </r>
  <r>
    <x v="3"/>
    <x v="0"/>
    <n v="2737"/>
    <x v="62"/>
    <x v="2"/>
    <x v="2"/>
    <x v="3"/>
  </r>
  <r>
    <x v="3"/>
    <x v="0"/>
    <n v="216566"/>
    <x v="96"/>
    <x v="2"/>
    <x v="2"/>
    <x v="3"/>
  </r>
  <r>
    <x v="3"/>
    <x v="0"/>
    <n v="314137"/>
    <x v="19"/>
    <x v="0"/>
    <x v="0"/>
    <x v="3"/>
  </r>
  <r>
    <x v="3"/>
    <x v="3"/>
    <n v="207404"/>
    <x v="16"/>
    <x v="1"/>
    <x v="1"/>
    <x v="3"/>
  </r>
  <r>
    <x v="3"/>
    <x v="0"/>
    <n v="206968"/>
    <x v="12"/>
    <x v="0"/>
    <x v="0"/>
    <x v="3"/>
  </r>
  <r>
    <x v="3"/>
    <x v="3"/>
    <n v="218987"/>
    <x v="8"/>
    <x v="1"/>
    <x v="1"/>
    <x v="3"/>
  </r>
  <r>
    <x v="3"/>
    <x v="0"/>
    <n v="118535"/>
    <x v="90"/>
    <x v="0"/>
    <x v="0"/>
    <x v="3"/>
  </r>
  <r>
    <x v="3"/>
    <x v="0"/>
    <n v="118535"/>
    <x v="90"/>
    <x v="2"/>
    <x v="2"/>
    <x v="3"/>
  </r>
  <r>
    <x v="3"/>
    <x v="0"/>
    <n v="300219"/>
    <x v="3"/>
    <x v="1"/>
    <x v="1"/>
    <x v="3"/>
  </r>
  <r>
    <x v="3"/>
    <x v="0"/>
    <n v="216566"/>
    <x v="96"/>
    <x v="0"/>
    <x v="0"/>
    <x v="3"/>
  </r>
  <r>
    <x v="3"/>
    <x v="0"/>
    <n v="204939"/>
    <x v="61"/>
    <x v="2"/>
    <x v="2"/>
    <x v="3"/>
  </r>
  <r>
    <x v="3"/>
    <x v="0"/>
    <n v="204939"/>
    <x v="61"/>
    <x v="0"/>
    <x v="0"/>
    <x v="3"/>
  </r>
  <r>
    <x v="3"/>
    <x v="0"/>
    <n v="303219"/>
    <x v="40"/>
    <x v="2"/>
    <x v="2"/>
    <x v="3"/>
  </r>
  <r>
    <x v="3"/>
    <x v="0"/>
    <n v="303219"/>
    <x v="40"/>
    <x v="0"/>
    <x v="0"/>
    <x v="3"/>
  </r>
  <r>
    <x v="3"/>
    <x v="0"/>
    <n v="303189"/>
    <x v="42"/>
    <x v="2"/>
    <x v="2"/>
    <x v="3"/>
  </r>
  <r>
    <x v="3"/>
    <x v="0"/>
    <n v="303189"/>
    <x v="42"/>
    <x v="0"/>
    <x v="0"/>
    <x v="3"/>
  </r>
  <r>
    <x v="3"/>
    <x v="0"/>
    <n v="206298"/>
    <x v="14"/>
    <x v="1"/>
    <x v="1"/>
    <x v="3"/>
  </r>
  <r>
    <x v="3"/>
    <x v="3"/>
    <n v="315199"/>
    <x v="15"/>
    <x v="1"/>
    <x v="1"/>
    <x v="3"/>
  </r>
  <r>
    <x v="3"/>
    <x v="0"/>
    <n v="206708"/>
    <x v="7"/>
    <x v="1"/>
    <x v="1"/>
    <x v="3"/>
  </r>
  <r>
    <x v="3"/>
    <x v="0"/>
    <n v="300169"/>
    <x v="5"/>
    <x v="0"/>
    <x v="0"/>
    <x v="3"/>
  </r>
  <r>
    <x v="3"/>
    <x v="0"/>
    <n v="317470"/>
    <x v="10"/>
    <x v="0"/>
    <x v="0"/>
    <x v="3"/>
  </r>
  <r>
    <x v="3"/>
    <x v="0"/>
    <n v="316646"/>
    <x v="6"/>
    <x v="0"/>
    <x v="0"/>
    <x v="3"/>
  </r>
  <r>
    <x v="3"/>
    <x v="0"/>
    <n v="206708"/>
    <x v="7"/>
    <x v="0"/>
    <x v="0"/>
    <x v="3"/>
  </r>
  <r>
    <x v="3"/>
    <x v="0"/>
    <n v="301809"/>
    <x v="95"/>
    <x v="1"/>
    <x v="1"/>
    <x v="3"/>
  </r>
  <r>
    <x v="3"/>
    <x v="0"/>
    <n v="301809"/>
    <x v="95"/>
    <x v="2"/>
    <x v="2"/>
    <x v="3"/>
  </r>
  <r>
    <x v="3"/>
    <x v="0"/>
    <n v="317470"/>
    <x v="10"/>
    <x v="2"/>
    <x v="2"/>
    <x v="3"/>
  </r>
  <r>
    <x v="3"/>
    <x v="0"/>
    <n v="144154"/>
    <x v="93"/>
    <x v="2"/>
    <x v="2"/>
    <x v="3"/>
  </r>
  <r>
    <x v="3"/>
    <x v="0"/>
    <n v="144154"/>
    <x v="93"/>
    <x v="0"/>
    <x v="0"/>
    <x v="3"/>
  </r>
  <r>
    <x v="3"/>
    <x v="0"/>
    <n v="300363"/>
    <x v="11"/>
    <x v="1"/>
    <x v="1"/>
    <x v="3"/>
  </r>
  <r>
    <x v="3"/>
    <x v="0"/>
    <n v="206348"/>
    <x v="4"/>
    <x v="0"/>
    <x v="0"/>
    <x v="3"/>
  </r>
  <r>
    <x v="3"/>
    <x v="0"/>
    <n v="316646"/>
    <x v="6"/>
    <x v="1"/>
    <x v="1"/>
    <x v="3"/>
  </r>
  <r>
    <x v="3"/>
    <x v="0"/>
    <n v="206348"/>
    <x v="4"/>
    <x v="1"/>
    <x v="1"/>
    <x v="3"/>
  </r>
  <r>
    <x v="3"/>
    <x v="0"/>
    <n v="300169"/>
    <x v="5"/>
    <x v="1"/>
    <x v="1"/>
    <x v="3"/>
  </r>
  <r>
    <x v="3"/>
    <x v="0"/>
    <n v="120762"/>
    <x v="103"/>
    <x v="2"/>
    <x v="2"/>
    <x v="3"/>
  </r>
  <r>
    <x v="3"/>
    <x v="0"/>
    <n v="312807"/>
    <x v="21"/>
    <x v="2"/>
    <x v="2"/>
    <x v="3"/>
  </r>
  <r>
    <x v="3"/>
    <x v="0"/>
    <n v="312807"/>
    <x v="21"/>
    <x v="1"/>
    <x v="1"/>
    <x v="3"/>
  </r>
  <r>
    <x v="3"/>
    <x v="0"/>
    <n v="300363"/>
    <x v="11"/>
    <x v="2"/>
    <x v="2"/>
    <x v="3"/>
  </r>
  <r>
    <x v="3"/>
    <x v="0"/>
    <n v="303221"/>
    <x v="38"/>
    <x v="2"/>
    <x v="2"/>
    <x v="3"/>
  </r>
  <r>
    <x v="3"/>
    <x v="0"/>
    <n v="303221"/>
    <x v="38"/>
    <x v="0"/>
    <x v="0"/>
    <x v="3"/>
  </r>
  <r>
    <x v="3"/>
    <x v="0"/>
    <n v="302769"/>
    <x v="49"/>
    <x v="2"/>
    <x v="2"/>
    <x v="3"/>
  </r>
  <r>
    <x v="3"/>
    <x v="0"/>
    <n v="302769"/>
    <x v="49"/>
    <x v="0"/>
    <x v="0"/>
    <x v="3"/>
  </r>
  <r>
    <x v="3"/>
    <x v="0"/>
    <n v="301920"/>
    <x v="91"/>
    <x v="2"/>
    <x v="2"/>
    <x v="3"/>
  </r>
  <r>
    <x v="3"/>
    <x v="0"/>
    <n v="507"/>
    <x v="9"/>
    <x v="0"/>
    <x v="0"/>
    <x v="3"/>
  </r>
  <r>
    <x v="3"/>
    <x v="0"/>
    <n v="301920"/>
    <x v="91"/>
    <x v="0"/>
    <x v="0"/>
    <x v="3"/>
  </r>
  <r>
    <x v="3"/>
    <x v="1"/>
    <n v="316879"/>
    <x v="2"/>
    <x v="0"/>
    <x v="0"/>
    <x v="3"/>
  </r>
  <r>
    <x v="3"/>
    <x v="0"/>
    <n v="300219"/>
    <x v="3"/>
    <x v="0"/>
    <x v="0"/>
    <x v="3"/>
  </r>
  <r>
    <x v="3"/>
    <x v="0"/>
    <n v="210001"/>
    <x v="36"/>
    <x v="2"/>
    <x v="2"/>
    <x v="3"/>
  </r>
  <r>
    <x v="4"/>
    <x v="0"/>
    <n v="316879"/>
    <x v="2"/>
    <x v="1"/>
    <x v="1"/>
    <x v="4"/>
  </r>
  <r>
    <x v="4"/>
    <x v="3"/>
    <n v="303219"/>
    <x v="40"/>
    <x v="1"/>
    <x v="1"/>
    <x v="4"/>
  </r>
  <r>
    <x v="4"/>
    <x v="0"/>
    <n v="300169"/>
    <x v="5"/>
    <x v="1"/>
    <x v="1"/>
    <x v="4"/>
  </r>
  <r>
    <x v="4"/>
    <x v="0"/>
    <n v="507"/>
    <x v="9"/>
    <x v="0"/>
    <x v="0"/>
    <x v="4"/>
  </r>
  <r>
    <x v="4"/>
    <x v="3"/>
    <n v="507"/>
    <x v="9"/>
    <x v="2"/>
    <x v="2"/>
    <x v="4"/>
  </r>
  <r>
    <x v="4"/>
    <x v="3"/>
    <n v="507"/>
    <x v="9"/>
    <x v="1"/>
    <x v="1"/>
    <x v="4"/>
  </r>
  <r>
    <x v="4"/>
    <x v="0"/>
    <n v="686"/>
    <x v="26"/>
    <x v="1"/>
    <x v="1"/>
    <x v="4"/>
  </r>
  <r>
    <x v="4"/>
    <x v="0"/>
    <n v="1733"/>
    <x v="37"/>
    <x v="0"/>
    <x v="0"/>
    <x v="4"/>
  </r>
  <r>
    <x v="4"/>
    <x v="0"/>
    <n v="300169"/>
    <x v="5"/>
    <x v="0"/>
    <x v="0"/>
    <x v="4"/>
  </r>
  <r>
    <x v="4"/>
    <x v="4"/>
    <n v="1733"/>
    <x v="37"/>
    <x v="2"/>
    <x v="2"/>
    <x v="4"/>
  </r>
  <r>
    <x v="4"/>
    <x v="0"/>
    <n v="1733"/>
    <x v="37"/>
    <x v="1"/>
    <x v="1"/>
    <x v="4"/>
  </r>
  <r>
    <x v="4"/>
    <x v="0"/>
    <n v="300219"/>
    <x v="3"/>
    <x v="1"/>
    <x v="1"/>
    <x v="4"/>
  </r>
  <r>
    <x v="4"/>
    <x v="0"/>
    <n v="2737"/>
    <x v="62"/>
    <x v="0"/>
    <x v="0"/>
    <x v="4"/>
  </r>
  <r>
    <x v="4"/>
    <x v="0"/>
    <n v="2737"/>
    <x v="62"/>
    <x v="1"/>
    <x v="1"/>
    <x v="4"/>
  </r>
  <r>
    <x v="4"/>
    <x v="0"/>
    <n v="117230"/>
    <x v="73"/>
    <x v="1"/>
    <x v="1"/>
    <x v="4"/>
  </r>
  <r>
    <x v="4"/>
    <x v="3"/>
    <n v="218987"/>
    <x v="8"/>
    <x v="1"/>
    <x v="1"/>
    <x v="4"/>
  </r>
  <r>
    <x v="4"/>
    <x v="0"/>
    <n v="117442"/>
    <x v="68"/>
    <x v="1"/>
    <x v="1"/>
    <x v="4"/>
  </r>
  <r>
    <x v="4"/>
    <x v="0"/>
    <n v="117456"/>
    <x v="80"/>
    <x v="1"/>
    <x v="1"/>
    <x v="4"/>
  </r>
  <r>
    <x v="4"/>
    <x v="1"/>
    <n v="218987"/>
    <x v="8"/>
    <x v="2"/>
    <x v="2"/>
    <x v="4"/>
  </r>
  <r>
    <x v="4"/>
    <x v="0"/>
    <n v="117501"/>
    <x v="84"/>
    <x v="1"/>
    <x v="1"/>
    <x v="4"/>
  </r>
  <r>
    <x v="4"/>
    <x v="3"/>
    <n v="117819"/>
    <x v="83"/>
    <x v="1"/>
    <x v="1"/>
    <x v="4"/>
  </r>
  <r>
    <x v="4"/>
    <x v="1"/>
    <n v="218987"/>
    <x v="8"/>
    <x v="0"/>
    <x v="0"/>
    <x v="4"/>
  </r>
  <r>
    <x v="4"/>
    <x v="3"/>
    <n v="117866"/>
    <x v="87"/>
    <x v="1"/>
    <x v="1"/>
    <x v="4"/>
  </r>
  <r>
    <x v="4"/>
    <x v="0"/>
    <n v="117986"/>
    <x v="92"/>
    <x v="0"/>
    <x v="0"/>
    <x v="4"/>
  </r>
  <r>
    <x v="4"/>
    <x v="4"/>
    <n v="300363"/>
    <x v="11"/>
    <x v="0"/>
    <x v="0"/>
    <x v="4"/>
  </r>
  <r>
    <x v="4"/>
    <x v="5"/>
    <n v="117986"/>
    <x v="92"/>
    <x v="2"/>
    <x v="2"/>
    <x v="4"/>
  </r>
  <r>
    <x v="4"/>
    <x v="0"/>
    <n v="117986"/>
    <x v="92"/>
    <x v="1"/>
    <x v="1"/>
    <x v="4"/>
  </r>
  <r>
    <x v="4"/>
    <x v="0"/>
    <n v="218916"/>
    <x v="17"/>
    <x v="1"/>
    <x v="1"/>
    <x v="4"/>
  </r>
  <r>
    <x v="4"/>
    <x v="0"/>
    <n v="118535"/>
    <x v="90"/>
    <x v="1"/>
    <x v="1"/>
    <x v="4"/>
  </r>
  <r>
    <x v="4"/>
    <x v="0"/>
    <n v="120762"/>
    <x v="103"/>
    <x v="0"/>
    <x v="0"/>
    <x v="4"/>
  </r>
  <r>
    <x v="4"/>
    <x v="0"/>
    <n v="218732"/>
    <x v="29"/>
    <x v="1"/>
    <x v="1"/>
    <x v="4"/>
  </r>
  <r>
    <x v="4"/>
    <x v="0"/>
    <n v="120762"/>
    <x v="103"/>
    <x v="1"/>
    <x v="1"/>
    <x v="4"/>
  </r>
  <r>
    <x v="4"/>
    <x v="0"/>
    <n v="130744"/>
    <x v="97"/>
    <x v="0"/>
    <x v="0"/>
    <x v="4"/>
  </r>
  <r>
    <x v="4"/>
    <x v="0"/>
    <n v="218698"/>
    <x v="48"/>
    <x v="1"/>
    <x v="1"/>
    <x v="4"/>
  </r>
  <r>
    <x v="4"/>
    <x v="0"/>
    <n v="300571"/>
    <x v="18"/>
    <x v="0"/>
    <x v="0"/>
    <x v="4"/>
  </r>
  <r>
    <x v="4"/>
    <x v="0"/>
    <n v="130744"/>
    <x v="97"/>
    <x v="1"/>
    <x v="1"/>
    <x v="4"/>
  </r>
  <r>
    <x v="4"/>
    <x v="4"/>
    <n v="131643"/>
    <x v="0"/>
    <x v="1"/>
    <x v="1"/>
    <x v="4"/>
  </r>
  <r>
    <x v="4"/>
    <x v="0"/>
    <n v="140302"/>
    <x v="100"/>
    <x v="1"/>
    <x v="1"/>
    <x v="4"/>
  </r>
  <r>
    <x v="4"/>
    <x v="0"/>
    <n v="144154"/>
    <x v="93"/>
    <x v="1"/>
    <x v="1"/>
    <x v="4"/>
  </r>
  <r>
    <x v="4"/>
    <x v="5"/>
    <n v="218674"/>
    <x v="57"/>
    <x v="1"/>
    <x v="1"/>
    <x v="4"/>
  </r>
  <r>
    <x v="4"/>
    <x v="0"/>
    <n v="144649"/>
    <x v="102"/>
    <x v="1"/>
    <x v="1"/>
    <x v="4"/>
  </r>
  <r>
    <x v="4"/>
    <x v="3"/>
    <n v="149445"/>
    <x v="99"/>
    <x v="1"/>
    <x v="1"/>
    <x v="4"/>
  </r>
  <r>
    <x v="4"/>
    <x v="1"/>
    <n v="218644"/>
    <x v="63"/>
    <x v="1"/>
    <x v="1"/>
    <x v="4"/>
  </r>
  <r>
    <x v="4"/>
    <x v="0"/>
    <n v="218616"/>
    <x v="86"/>
    <x v="0"/>
    <x v="0"/>
    <x v="4"/>
  </r>
  <r>
    <x v="4"/>
    <x v="0"/>
    <n v="218616"/>
    <x v="86"/>
    <x v="2"/>
    <x v="2"/>
    <x v="4"/>
  </r>
  <r>
    <x v="4"/>
    <x v="0"/>
    <n v="323608"/>
    <x v="31"/>
    <x v="2"/>
    <x v="2"/>
    <x v="4"/>
  </r>
  <r>
    <x v="4"/>
    <x v="0"/>
    <n v="312617"/>
    <x v="24"/>
    <x v="2"/>
    <x v="2"/>
    <x v="4"/>
  </r>
  <r>
    <x v="4"/>
    <x v="0"/>
    <n v="300571"/>
    <x v="18"/>
    <x v="1"/>
    <x v="1"/>
    <x v="4"/>
  </r>
  <r>
    <x v="4"/>
    <x v="0"/>
    <n v="158311"/>
    <x v="60"/>
    <x v="1"/>
    <x v="1"/>
    <x v="4"/>
  </r>
  <r>
    <x v="4"/>
    <x v="0"/>
    <n v="158751"/>
    <x v="54"/>
    <x v="1"/>
    <x v="1"/>
    <x v="4"/>
  </r>
  <r>
    <x v="4"/>
    <x v="0"/>
    <n v="209211"/>
    <x v="33"/>
    <x v="0"/>
    <x v="0"/>
    <x v="4"/>
  </r>
  <r>
    <x v="4"/>
    <x v="0"/>
    <n v="209211"/>
    <x v="33"/>
    <x v="2"/>
    <x v="2"/>
    <x v="4"/>
  </r>
  <r>
    <x v="4"/>
    <x v="3"/>
    <n v="160030"/>
    <x v="55"/>
    <x v="1"/>
    <x v="1"/>
    <x v="4"/>
  </r>
  <r>
    <x v="4"/>
    <x v="4"/>
    <n v="161003"/>
    <x v="88"/>
    <x v="1"/>
    <x v="1"/>
    <x v="4"/>
  </r>
  <r>
    <x v="4"/>
    <x v="3"/>
    <n v="218644"/>
    <x v="63"/>
    <x v="0"/>
    <x v="0"/>
    <x v="4"/>
  </r>
  <r>
    <x v="4"/>
    <x v="0"/>
    <n v="300711"/>
    <x v="74"/>
    <x v="0"/>
    <x v="0"/>
    <x v="4"/>
  </r>
  <r>
    <x v="4"/>
    <x v="0"/>
    <n v="300711"/>
    <x v="74"/>
    <x v="2"/>
    <x v="2"/>
    <x v="4"/>
  </r>
  <r>
    <x v="4"/>
    <x v="0"/>
    <n v="301760"/>
    <x v="89"/>
    <x v="2"/>
    <x v="2"/>
    <x v="4"/>
  </r>
  <r>
    <x v="4"/>
    <x v="0"/>
    <n v="316879"/>
    <x v="2"/>
    <x v="2"/>
    <x v="2"/>
    <x v="4"/>
  </r>
  <r>
    <x v="4"/>
    <x v="3"/>
    <n v="161520"/>
    <x v="77"/>
    <x v="1"/>
    <x v="1"/>
    <x v="4"/>
  </r>
  <r>
    <x v="4"/>
    <x v="0"/>
    <n v="300711"/>
    <x v="74"/>
    <x v="1"/>
    <x v="1"/>
    <x v="4"/>
  </r>
  <r>
    <x v="4"/>
    <x v="4"/>
    <n v="168458"/>
    <x v="75"/>
    <x v="1"/>
    <x v="1"/>
    <x v="4"/>
  </r>
  <r>
    <x v="4"/>
    <x v="0"/>
    <n v="169537"/>
    <x v="81"/>
    <x v="1"/>
    <x v="1"/>
    <x v="4"/>
  </r>
  <r>
    <x v="4"/>
    <x v="0"/>
    <n v="169872"/>
    <x v="79"/>
    <x v="1"/>
    <x v="1"/>
    <x v="4"/>
  </r>
  <r>
    <x v="4"/>
    <x v="3"/>
    <n v="218628"/>
    <x v="76"/>
    <x v="1"/>
    <x v="1"/>
    <x v="4"/>
  </r>
  <r>
    <x v="4"/>
    <x v="0"/>
    <n v="118535"/>
    <x v="90"/>
    <x v="0"/>
    <x v="0"/>
    <x v="4"/>
  </r>
  <r>
    <x v="4"/>
    <x v="0"/>
    <n v="118535"/>
    <x v="90"/>
    <x v="2"/>
    <x v="2"/>
    <x v="4"/>
  </r>
  <r>
    <x v="4"/>
    <x v="0"/>
    <n v="120762"/>
    <x v="103"/>
    <x v="2"/>
    <x v="2"/>
    <x v="4"/>
  </r>
  <r>
    <x v="4"/>
    <x v="0"/>
    <n v="210001"/>
    <x v="36"/>
    <x v="2"/>
    <x v="2"/>
    <x v="4"/>
  </r>
  <r>
    <x v="4"/>
    <x v="0"/>
    <n v="301920"/>
    <x v="91"/>
    <x v="0"/>
    <x v="0"/>
    <x v="4"/>
  </r>
  <r>
    <x v="4"/>
    <x v="0"/>
    <n v="301920"/>
    <x v="91"/>
    <x v="2"/>
    <x v="2"/>
    <x v="4"/>
  </r>
  <r>
    <x v="4"/>
    <x v="0"/>
    <n v="203631"/>
    <x v="71"/>
    <x v="1"/>
    <x v="1"/>
    <x v="4"/>
  </r>
  <r>
    <x v="4"/>
    <x v="4"/>
    <n v="204615"/>
    <x v="67"/>
    <x v="1"/>
    <x v="1"/>
    <x v="4"/>
  </r>
  <r>
    <x v="4"/>
    <x v="4"/>
    <n v="300862"/>
    <x v="66"/>
    <x v="1"/>
    <x v="1"/>
    <x v="4"/>
  </r>
  <r>
    <x v="4"/>
    <x v="0"/>
    <n v="204939"/>
    <x v="61"/>
    <x v="1"/>
    <x v="1"/>
    <x v="4"/>
  </r>
  <r>
    <x v="4"/>
    <x v="0"/>
    <n v="204952"/>
    <x v="56"/>
    <x v="1"/>
    <x v="1"/>
    <x v="4"/>
  </r>
  <r>
    <x v="4"/>
    <x v="3"/>
    <n v="218628"/>
    <x v="76"/>
    <x v="0"/>
    <x v="0"/>
    <x v="4"/>
  </r>
  <r>
    <x v="4"/>
    <x v="0"/>
    <n v="302769"/>
    <x v="49"/>
    <x v="0"/>
    <x v="0"/>
    <x v="4"/>
  </r>
  <r>
    <x v="4"/>
    <x v="0"/>
    <n v="302769"/>
    <x v="49"/>
    <x v="2"/>
    <x v="2"/>
    <x v="4"/>
  </r>
  <r>
    <x v="4"/>
    <x v="0"/>
    <n v="303221"/>
    <x v="38"/>
    <x v="0"/>
    <x v="0"/>
    <x v="4"/>
  </r>
  <r>
    <x v="4"/>
    <x v="3"/>
    <n v="205104"/>
    <x v="51"/>
    <x v="1"/>
    <x v="1"/>
    <x v="4"/>
  </r>
  <r>
    <x v="4"/>
    <x v="1"/>
    <n v="324108"/>
    <x v="35"/>
    <x v="1"/>
    <x v="1"/>
    <x v="4"/>
  </r>
  <r>
    <x v="4"/>
    <x v="0"/>
    <n v="218623"/>
    <x v="65"/>
    <x v="0"/>
    <x v="0"/>
    <x v="4"/>
  </r>
  <r>
    <x v="4"/>
    <x v="0"/>
    <n v="303221"/>
    <x v="38"/>
    <x v="2"/>
    <x v="2"/>
    <x v="4"/>
  </r>
  <r>
    <x v="4"/>
    <x v="0"/>
    <n v="312807"/>
    <x v="21"/>
    <x v="2"/>
    <x v="2"/>
    <x v="4"/>
  </r>
  <r>
    <x v="4"/>
    <x v="0"/>
    <n v="312807"/>
    <x v="21"/>
    <x v="1"/>
    <x v="1"/>
    <x v="4"/>
  </r>
  <r>
    <x v="4"/>
    <x v="3"/>
    <n v="300987"/>
    <x v="59"/>
    <x v="1"/>
    <x v="1"/>
    <x v="4"/>
  </r>
  <r>
    <x v="4"/>
    <x v="0"/>
    <n v="205228"/>
    <x v="44"/>
    <x v="1"/>
    <x v="1"/>
    <x v="4"/>
  </r>
  <r>
    <x v="4"/>
    <x v="1"/>
    <n v="324108"/>
    <x v="35"/>
    <x v="2"/>
    <x v="2"/>
    <x v="4"/>
  </r>
  <r>
    <x v="4"/>
    <x v="0"/>
    <n v="300363"/>
    <x v="11"/>
    <x v="2"/>
    <x v="2"/>
    <x v="4"/>
  </r>
  <r>
    <x v="4"/>
    <x v="0"/>
    <n v="300363"/>
    <x v="11"/>
    <x v="1"/>
    <x v="1"/>
    <x v="4"/>
  </r>
  <r>
    <x v="4"/>
    <x v="0"/>
    <n v="144154"/>
    <x v="93"/>
    <x v="0"/>
    <x v="0"/>
    <x v="4"/>
  </r>
  <r>
    <x v="4"/>
    <x v="0"/>
    <n v="144154"/>
    <x v="93"/>
    <x v="2"/>
    <x v="2"/>
    <x v="4"/>
  </r>
  <r>
    <x v="4"/>
    <x v="4"/>
    <n v="205349"/>
    <x v="39"/>
    <x v="1"/>
    <x v="1"/>
    <x v="4"/>
  </r>
  <r>
    <x v="4"/>
    <x v="1"/>
    <n v="324108"/>
    <x v="35"/>
    <x v="0"/>
    <x v="0"/>
    <x v="4"/>
  </r>
  <r>
    <x v="4"/>
    <x v="0"/>
    <n v="218616"/>
    <x v="86"/>
    <x v="1"/>
    <x v="1"/>
    <x v="4"/>
  </r>
  <r>
    <x v="4"/>
    <x v="0"/>
    <n v="301809"/>
    <x v="95"/>
    <x v="2"/>
    <x v="2"/>
    <x v="4"/>
  </r>
  <r>
    <x v="4"/>
    <x v="0"/>
    <n v="301809"/>
    <x v="95"/>
    <x v="1"/>
    <x v="1"/>
    <x v="4"/>
  </r>
  <r>
    <x v="4"/>
    <x v="0"/>
    <n v="303189"/>
    <x v="42"/>
    <x v="0"/>
    <x v="0"/>
    <x v="4"/>
  </r>
  <r>
    <x v="4"/>
    <x v="0"/>
    <n v="303189"/>
    <x v="42"/>
    <x v="2"/>
    <x v="2"/>
    <x v="4"/>
  </r>
  <r>
    <x v="4"/>
    <x v="0"/>
    <n v="301229"/>
    <x v="98"/>
    <x v="0"/>
    <x v="0"/>
    <x v="4"/>
  </r>
  <r>
    <x v="4"/>
    <x v="0"/>
    <n v="323608"/>
    <x v="31"/>
    <x v="1"/>
    <x v="1"/>
    <x v="4"/>
  </r>
  <r>
    <x v="4"/>
    <x v="3"/>
    <n v="205985"/>
    <x v="27"/>
    <x v="0"/>
    <x v="0"/>
    <x v="4"/>
  </r>
  <r>
    <x v="4"/>
    <x v="0"/>
    <n v="303219"/>
    <x v="40"/>
    <x v="0"/>
    <x v="0"/>
    <x v="4"/>
  </r>
  <r>
    <x v="4"/>
    <x v="0"/>
    <n v="303219"/>
    <x v="40"/>
    <x v="2"/>
    <x v="2"/>
    <x v="4"/>
  </r>
  <r>
    <x v="4"/>
    <x v="0"/>
    <n v="323608"/>
    <x v="31"/>
    <x v="0"/>
    <x v="0"/>
    <x v="4"/>
  </r>
  <r>
    <x v="4"/>
    <x v="0"/>
    <n v="205985"/>
    <x v="27"/>
    <x v="1"/>
    <x v="1"/>
    <x v="4"/>
  </r>
  <r>
    <x v="4"/>
    <x v="0"/>
    <n v="218402"/>
    <x v="101"/>
    <x v="1"/>
    <x v="1"/>
    <x v="4"/>
  </r>
  <r>
    <x v="4"/>
    <x v="0"/>
    <n v="317470"/>
    <x v="10"/>
    <x v="2"/>
    <x v="2"/>
    <x v="4"/>
  </r>
  <r>
    <x v="4"/>
    <x v="0"/>
    <n v="204939"/>
    <x v="61"/>
    <x v="0"/>
    <x v="0"/>
    <x v="4"/>
  </r>
  <r>
    <x v="4"/>
    <x v="0"/>
    <n v="204939"/>
    <x v="61"/>
    <x v="2"/>
    <x v="2"/>
    <x v="4"/>
  </r>
  <r>
    <x v="4"/>
    <x v="0"/>
    <n v="216566"/>
    <x v="96"/>
    <x v="0"/>
    <x v="0"/>
    <x v="4"/>
  </r>
  <r>
    <x v="4"/>
    <x v="0"/>
    <n v="216566"/>
    <x v="96"/>
    <x v="2"/>
    <x v="2"/>
    <x v="4"/>
  </r>
  <r>
    <x v="4"/>
    <x v="0"/>
    <n v="301760"/>
    <x v="89"/>
    <x v="0"/>
    <x v="0"/>
    <x v="4"/>
  </r>
  <r>
    <x v="4"/>
    <x v="0"/>
    <n v="321932"/>
    <x v="23"/>
    <x v="0"/>
    <x v="0"/>
    <x v="4"/>
  </r>
  <r>
    <x v="4"/>
    <x v="3"/>
    <n v="206236"/>
    <x v="22"/>
    <x v="1"/>
    <x v="1"/>
    <x v="4"/>
  </r>
  <r>
    <x v="4"/>
    <x v="0"/>
    <n v="2737"/>
    <x v="62"/>
    <x v="2"/>
    <x v="2"/>
    <x v="4"/>
  </r>
  <r>
    <x v="4"/>
    <x v="0"/>
    <n v="317470"/>
    <x v="10"/>
    <x v="1"/>
    <x v="1"/>
    <x v="4"/>
  </r>
  <r>
    <x v="4"/>
    <x v="0"/>
    <n v="206298"/>
    <x v="14"/>
    <x v="1"/>
    <x v="1"/>
    <x v="4"/>
  </r>
  <r>
    <x v="4"/>
    <x v="4"/>
    <n v="218225"/>
    <x v="1"/>
    <x v="1"/>
    <x v="1"/>
    <x v="4"/>
  </r>
  <r>
    <x v="4"/>
    <x v="0"/>
    <n v="117501"/>
    <x v="84"/>
    <x v="0"/>
    <x v="0"/>
    <x v="4"/>
  </r>
  <r>
    <x v="4"/>
    <x v="0"/>
    <n v="117501"/>
    <x v="84"/>
    <x v="2"/>
    <x v="2"/>
    <x v="4"/>
  </r>
  <r>
    <x v="4"/>
    <x v="0"/>
    <n v="130744"/>
    <x v="97"/>
    <x v="2"/>
    <x v="2"/>
    <x v="4"/>
  </r>
  <r>
    <x v="4"/>
    <x v="0"/>
    <n v="301229"/>
    <x v="98"/>
    <x v="2"/>
    <x v="2"/>
    <x v="4"/>
  </r>
  <r>
    <x v="4"/>
    <x v="0"/>
    <n v="301229"/>
    <x v="98"/>
    <x v="1"/>
    <x v="1"/>
    <x v="4"/>
  </r>
  <r>
    <x v="4"/>
    <x v="0"/>
    <n v="302335"/>
    <x v="70"/>
    <x v="2"/>
    <x v="2"/>
    <x v="4"/>
  </r>
  <r>
    <x v="4"/>
    <x v="0"/>
    <n v="140302"/>
    <x v="100"/>
    <x v="0"/>
    <x v="0"/>
    <x v="4"/>
  </r>
  <r>
    <x v="4"/>
    <x v="0"/>
    <n v="301760"/>
    <x v="89"/>
    <x v="1"/>
    <x v="1"/>
    <x v="4"/>
  </r>
  <r>
    <x v="4"/>
    <x v="0"/>
    <n v="317470"/>
    <x v="10"/>
    <x v="0"/>
    <x v="0"/>
    <x v="4"/>
  </r>
  <r>
    <x v="4"/>
    <x v="0"/>
    <n v="206348"/>
    <x v="4"/>
    <x v="0"/>
    <x v="0"/>
    <x v="4"/>
  </r>
  <r>
    <x v="4"/>
    <x v="1"/>
    <n v="316879"/>
    <x v="2"/>
    <x v="0"/>
    <x v="0"/>
    <x v="4"/>
  </r>
  <r>
    <x v="4"/>
    <x v="0"/>
    <n v="300219"/>
    <x v="3"/>
    <x v="0"/>
    <x v="0"/>
    <x v="4"/>
  </r>
  <r>
    <x v="4"/>
    <x v="0"/>
    <n v="218210"/>
    <x v="69"/>
    <x v="0"/>
    <x v="0"/>
    <x v="4"/>
  </r>
  <r>
    <x v="4"/>
    <x v="0"/>
    <n v="140302"/>
    <x v="100"/>
    <x v="2"/>
    <x v="2"/>
    <x v="4"/>
  </r>
  <r>
    <x v="4"/>
    <x v="0"/>
    <n v="218698"/>
    <x v="48"/>
    <x v="0"/>
    <x v="0"/>
    <x v="4"/>
  </r>
  <r>
    <x v="4"/>
    <x v="0"/>
    <n v="218698"/>
    <x v="48"/>
    <x v="2"/>
    <x v="2"/>
    <x v="4"/>
  </r>
  <r>
    <x v="4"/>
    <x v="0"/>
    <n v="218402"/>
    <x v="101"/>
    <x v="0"/>
    <x v="0"/>
    <x v="4"/>
  </r>
  <r>
    <x v="4"/>
    <x v="0"/>
    <n v="218402"/>
    <x v="101"/>
    <x v="2"/>
    <x v="2"/>
    <x v="4"/>
  </r>
  <r>
    <x v="4"/>
    <x v="0"/>
    <n v="315199"/>
    <x v="15"/>
    <x v="0"/>
    <x v="0"/>
    <x v="4"/>
  </r>
  <r>
    <x v="4"/>
    <x v="0"/>
    <n v="206348"/>
    <x v="4"/>
    <x v="1"/>
    <x v="1"/>
    <x v="4"/>
  </r>
  <r>
    <x v="4"/>
    <x v="0"/>
    <n v="316646"/>
    <x v="6"/>
    <x v="1"/>
    <x v="1"/>
    <x v="4"/>
  </r>
  <r>
    <x v="4"/>
    <x v="0"/>
    <n v="301805"/>
    <x v="64"/>
    <x v="0"/>
    <x v="0"/>
    <x v="4"/>
  </r>
  <r>
    <x v="4"/>
    <x v="0"/>
    <n v="206708"/>
    <x v="7"/>
    <x v="0"/>
    <x v="0"/>
    <x v="4"/>
  </r>
  <r>
    <x v="4"/>
    <x v="0"/>
    <n v="316646"/>
    <x v="6"/>
    <x v="0"/>
    <x v="0"/>
    <x v="4"/>
  </r>
  <r>
    <x v="4"/>
    <x v="0"/>
    <n v="217678"/>
    <x v="104"/>
    <x v="1"/>
    <x v="1"/>
    <x v="4"/>
  </r>
  <r>
    <x v="4"/>
    <x v="0"/>
    <n v="315199"/>
    <x v="15"/>
    <x v="2"/>
    <x v="2"/>
    <x v="4"/>
  </r>
  <r>
    <x v="4"/>
    <x v="0"/>
    <n v="301983"/>
    <x v="85"/>
    <x v="2"/>
    <x v="2"/>
    <x v="4"/>
  </r>
  <r>
    <x v="4"/>
    <x v="0"/>
    <n v="302988"/>
    <x v="45"/>
    <x v="0"/>
    <x v="0"/>
    <x v="4"/>
  </r>
  <r>
    <x v="4"/>
    <x v="0"/>
    <n v="302988"/>
    <x v="45"/>
    <x v="2"/>
    <x v="2"/>
    <x v="4"/>
  </r>
  <r>
    <x v="4"/>
    <x v="0"/>
    <n v="205985"/>
    <x v="27"/>
    <x v="2"/>
    <x v="2"/>
    <x v="4"/>
  </r>
  <r>
    <x v="4"/>
    <x v="0"/>
    <n v="218644"/>
    <x v="63"/>
    <x v="2"/>
    <x v="2"/>
    <x v="4"/>
  </r>
  <r>
    <x v="4"/>
    <x v="0"/>
    <n v="206708"/>
    <x v="7"/>
    <x v="1"/>
    <x v="1"/>
    <x v="4"/>
  </r>
  <r>
    <x v="4"/>
    <x v="5"/>
    <n v="315199"/>
    <x v="15"/>
    <x v="1"/>
    <x v="1"/>
    <x v="4"/>
  </r>
  <r>
    <x v="4"/>
    <x v="0"/>
    <n v="217081"/>
    <x v="13"/>
    <x v="1"/>
    <x v="1"/>
    <x v="4"/>
  </r>
  <r>
    <x v="4"/>
    <x v="0"/>
    <n v="216476"/>
    <x v="94"/>
    <x v="0"/>
    <x v="0"/>
    <x v="4"/>
  </r>
  <r>
    <x v="4"/>
    <x v="0"/>
    <n v="301809"/>
    <x v="95"/>
    <x v="0"/>
    <x v="0"/>
    <x v="4"/>
  </r>
  <r>
    <x v="4"/>
    <x v="0"/>
    <n v="206968"/>
    <x v="12"/>
    <x v="0"/>
    <x v="0"/>
    <x v="4"/>
  </r>
  <r>
    <x v="4"/>
    <x v="0"/>
    <n v="314137"/>
    <x v="19"/>
    <x v="0"/>
    <x v="0"/>
    <x v="4"/>
  </r>
  <r>
    <x v="4"/>
    <x v="0"/>
    <n v="216476"/>
    <x v="94"/>
    <x v="2"/>
    <x v="2"/>
    <x v="4"/>
  </r>
  <r>
    <x v="4"/>
    <x v="0"/>
    <n v="144649"/>
    <x v="102"/>
    <x v="0"/>
    <x v="0"/>
    <x v="4"/>
  </r>
  <r>
    <x v="4"/>
    <x v="0"/>
    <n v="144649"/>
    <x v="102"/>
    <x v="2"/>
    <x v="2"/>
    <x v="4"/>
  </r>
  <r>
    <x v="4"/>
    <x v="0"/>
    <n v="169537"/>
    <x v="81"/>
    <x v="0"/>
    <x v="0"/>
    <x v="4"/>
  </r>
  <r>
    <x v="4"/>
    <x v="0"/>
    <n v="169537"/>
    <x v="81"/>
    <x v="2"/>
    <x v="2"/>
    <x v="4"/>
  </r>
  <r>
    <x v="4"/>
    <x v="3"/>
    <n v="207404"/>
    <x v="16"/>
    <x v="1"/>
    <x v="1"/>
    <x v="4"/>
  </r>
  <r>
    <x v="4"/>
    <x v="0"/>
    <n v="312807"/>
    <x v="21"/>
    <x v="0"/>
    <x v="0"/>
    <x v="4"/>
  </r>
  <r>
    <x v="4"/>
    <x v="0"/>
    <n v="216566"/>
    <x v="96"/>
    <x v="1"/>
    <x v="1"/>
    <x v="4"/>
  </r>
  <r>
    <x v="4"/>
    <x v="0"/>
    <n v="204615"/>
    <x v="67"/>
    <x v="0"/>
    <x v="0"/>
    <x v="4"/>
  </r>
  <r>
    <x v="4"/>
    <x v="0"/>
    <n v="204615"/>
    <x v="67"/>
    <x v="2"/>
    <x v="2"/>
    <x v="4"/>
  </r>
  <r>
    <x v="4"/>
    <x v="0"/>
    <n v="301920"/>
    <x v="91"/>
    <x v="1"/>
    <x v="1"/>
    <x v="4"/>
  </r>
  <r>
    <x v="4"/>
    <x v="0"/>
    <n v="207743"/>
    <x v="20"/>
    <x v="0"/>
    <x v="0"/>
    <x v="4"/>
  </r>
  <r>
    <x v="4"/>
    <x v="3"/>
    <n v="207743"/>
    <x v="20"/>
    <x v="1"/>
    <x v="1"/>
    <x v="4"/>
  </r>
  <r>
    <x v="4"/>
    <x v="0"/>
    <n v="149445"/>
    <x v="99"/>
    <x v="0"/>
    <x v="0"/>
    <x v="4"/>
  </r>
  <r>
    <x v="4"/>
    <x v="0"/>
    <n v="149445"/>
    <x v="99"/>
    <x v="2"/>
    <x v="2"/>
    <x v="4"/>
  </r>
  <r>
    <x v="4"/>
    <x v="0"/>
    <n v="314137"/>
    <x v="19"/>
    <x v="2"/>
    <x v="2"/>
    <x v="4"/>
  </r>
  <r>
    <x v="4"/>
    <x v="0"/>
    <n v="314137"/>
    <x v="19"/>
    <x v="1"/>
    <x v="1"/>
    <x v="4"/>
  </r>
  <r>
    <x v="4"/>
    <x v="0"/>
    <n v="312617"/>
    <x v="24"/>
    <x v="1"/>
    <x v="1"/>
    <x v="4"/>
  </r>
  <r>
    <x v="4"/>
    <x v="0"/>
    <n v="208277"/>
    <x v="25"/>
    <x v="0"/>
    <x v="0"/>
    <x v="4"/>
  </r>
  <r>
    <x v="4"/>
    <x v="0"/>
    <n v="216476"/>
    <x v="94"/>
    <x v="1"/>
    <x v="1"/>
    <x v="4"/>
  </r>
  <r>
    <x v="4"/>
    <x v="0"/>
    <n v="218916"/>
    <x v="17"/>
    <x v="0"/>
    <x v="0"/>
    <x v="4"/>
  </r>
  <r>
    <x v="4"/>
    <x v="0"/>
    <n v="218916"/>
    <x v="17"/>
    <x v="2"/>
    <x v="2"/>
    <x v="4"/>
  </r>
  <r>
    <x v="4"/>
    <x v="0"/>
    <n v="206236"/>
    <x v="22"/>
    <x v="0"/>
    <x v="0"/>
    <x v="4"/>
  </r>
  <r>
    <x v="4"/>
    <x v="0"/>
    <n v="206236"/>
    <x v="22"/>
    <x v="2"/>
    <x v="2"/>
    <x v="4"/>
  </r>
  <r>
    <x v="4"/>
    <x v="0"/>
    <n v="301983"/>
    <x v="85"/>
    <x v="0"/>
    <x v="0"/>
    <x v="4"/>
  </r>
  <r>
    <x v="4"/>
    <x v="0"/>
    <n v="312617"/>
    <x v="24"/>
    <x v="0"/>
    <x v="0"/>
    <x v="4"/>
  </r>
  <r>
    <x v="4"/>
    <x v="0"/>
    <n v="208277"/>
    <x v="25"/>
    <x v="1"/>
    <x v="1"/>
    <x v="4"/>
  </r>
  <r>
    <x v="4"/>
    <x v="0"/>
    <n v="209209"/>
    <x v="32"/>
    <x v="0"/>
    <x v="0"/>
    <x v="4"/>
  </r>
  <r>
    <x v="4"/>
    <x v="0"/>
    <n v="209209"/>
    <x v="32"/>
    <x v="2"/>
    <x v="2"/>
    <x v="4"/>
  </r>
  <r>
    <x v="4"/>
    <x v="0"/>
    <n v="211470"/>
    <x v="53"/>
    <x v="2"/>
    <x v="2"/>
    <x v="4"/>
  </r>
  <r>
    <x v="4"/>
    <x v="0"/>
    <n v="211470"/>
    <x v="53"/>
    <x v="0"/>
    <x v="0"/>
    <x v="4"/>
  </r>
  <r>
    <x v="4"/>
    <x v="0"/>
    <n v="215020"/>
    <x v="72"/>
    <x v="1"/>
    <x v="1"/>
    <x v="4"/>
  </r>
  <r>
    <x v="4"/>
    <x v="0"/>
    <n v="217081"/>
    <x v="13"/>
    <x v="0"/>
    <x v="0"/>
    <x v="4"/>
  </r>
  <r>
    <x v="4"/>
    <x v="0"/>
    <n v="217081"/>
    <x v="13"/>
    <x v="2"/>
    <x v="2"/>
    <x v="4"/>
  </r>
  <r>
    <x v="4"/>
    <x v="0"/>
    <n v="214951"/>
    <x v="78"/>
    <x v="0"/>
    <x v="0"/>
    <x v="4"/>
  </r>
  <r>
    <x v="4"/>
    <x v="0"/>
    <n v="214951"/>
    <x v="78"/>
    <x v="2"/>
    <x v="2"/>
    <x v="4"/>
  </r>
  <r>
    <x v="4"/>
    <x v="0"/>
    <n v="204952"/>
    <x v="56"/>
    <x v="0"/>
    <x v="0"/>
    <x v="4"/>
  </r>
  <r>
    <x v="4"/>
    <x v="0"/>
    <n v="301983"/>
    <x v="85"/>
    <x v="1"/>
    <x v="1"/>
    <x v="4"/>
  </r>
  <r>
    <x v="4"/>
    <x v="0"/>
    <n v="209208"/>
    <x v="30"/>
    <x v="2"/>
    <x v="2"/>
    <x v="4"/>
  </r>
  <r>
    <x v="4"/>
    <x v="0"/>
    <n v="312259"/>
    <x v="28"/>
    <x v="1"/>
    <x v="1"/>
    <x v="4"/>
  </r>
  <r>
    <x v="4"/>
    <x v="0"/>
    <n v="204952"/>
    <x v="56"/>
    <x v="2"/>
    <x v="2"/>
    <x v="4"/>
  </r>
  <r>
    <x v="4"/>
    <x v="0"/>
    <n v="209208"/>
    <x v="30"/>
    <x v="0"/>
    <x v="0"/>
    <x v="4"/>
  </r>
  <r>
    <x v="4"/>
    <x v="0"/>
    <n v="117819"/>
    <x v="83"/>
    <x v="2"/>
    <x v="2"/>
    <x v="4"/>
  </r>
  <r>
    <x v="4"/>
    <x v="1"/>
    <n v="215020"/>
    <x v="72"/>
    <x v="0"/>
    <x v="0"/>
    <x v="4"/>
  </r>
  <r>
    <x v="4"/>
    <x v="0"/>
    <n v="205104"/>
    <x v="51"/>
    <x v="0"/>
    <x v="0"/>
    <x v="4"/>
  </r>
  <r>
    <x v="4"/>
    <x v="0"/>
    <n v="205104"/>
    <x v="51"/>
    <x v="2"/>
    <x v="2"/>
    <x v="4"/>
  </r>
  <r>
    <x v="4"/>
    <x v="0"/>
    <n v="210127"/>
    <x v="41"/>
    <x v="0"/>
    <x v="0"/>
    <x v="4"/>
  </r>
  <r>
    <x v="4"/>
    <x v="0"/>
    <n v="210127"/>
    <x v="41"/>
    <x v="2"/>
    <x v="2"/>
    <x v="4"/>
  </r>
  <r>
    <x v="4"/>
    <x v="0"/>
    <n v="218674"/>
    <x v="57"/>
    <x v="0"/>
    <x v="0"/>
    <x v="4"/>
  </r>
  <r>
    <x v="4"/>
    <x v="0"/>
    <n v="218674"/>
    <x v="57"/>
    <x v="2"/>
    <x v="2"/>
    <x v="4"/>
  </r>
  <r>
    <x v="4"/>
    <x v="3"/>
    <n v="302335"/>
    <x v="70"/>
    <x v="0"/>
    <x v="0"/>
    <x v="4"/>
  </r>
  <r>
    <x v="4"/>
    <x v="0"/>
    <n v="117819"/>
    <x v="83"/>
    <x v="0"/>
    <x v="0"/>
    <x v="4"/>
  </r>
  <r>
    <x v="4"/>
    <x v="0"/>
    <n v="686"/>
    <x v="26"/>
    <x v="2"/>
    <x v="2"/>
    <x v="4"/>
  </r>
  <r>
    <x v="4"/>
    <x v="0"/>
    <n v="209208"/>
    <x v="30"/>
    <x v="1"/>
    <x v="1"/>
    <x v="4"/>
  </r>
  <r>
    <x v="4"/>
    <x v="0"/>
    <n v="686"/>
    <x v="26"/>
    <x v="0"/>
    <x v="0"/>
    <x v="4"/>
  </r>
  <r>
    <x v="4"/>
    <x v="3"/>
    <n v="214951"/>
    <x v="78"/>
    <x v="1"/>
    <x v="1"/>
    <x v="4"/>
  </r>
  <r>
    <x v="4"/>
    <x v="0"/>
    <n v="312259"/>
    <x v="28"/>
    <x v="2"/>
    <x v="2"/>
    <x v="4"/>
  </r>
  <r>
    <x v="4"/>
    <x v="0"/>
    <n v="117866"/>
    <x v="87"/>
    <x v="0"/>
    <x v="0"/>
    <x v="4"/>
  </r>
  <r>
    <x v="4"/>
    <x v="0"/>
    <n v="117866"/>
    <x v="87"/>
    <x v="2"/>
    <x v="2"/>
    <x v="4"/>
  </r>
  <r>
    <x v="4"/>
    <x v="0"/>
    <n v="161003"/>
    <x v="88"/>
    <x v="0"/>
    <x v="0"/>
    <x v="4"/>
  </r>
  <r>
    <x v="4"/>
    <x v="0"/>
    <n v="161003"/>
    <x v="88"/>
    <x v="2"/>
    <x v="2"/>
    <x v="4"/>
  </r>
  <r>
    <x v="4"/>
    <x v="0"/>
    <n v="206968"/>
    <x v="12"/>
    <x v="2"/>
    <x v="2"/>
    <x v="4"/>
  </r>
  <r>
    <x v="4"/>
    <x v="0"/>
    <n v="302856"/>
    <x v="46"/>
    <x v="1"/>
    <x v="1"/>
    <x v="4"/>
  </r>
  <r>
    <x v="4"/>
    <x v="0"/>
    <n v="302856"/>
    <x v="46"/>
    <x v="2"/>
    <x v="2"/>
    <x v="4"/>
  </r>
  <r>
    <x v="4"/>
    <x v="0"/>
    <n v="302335"/>
    <x v="70"/>
    <x v="1"/>
    <x v="1"/>
    <x v="4"/>
  </r>
  <r>
    <x v="4"/>
    <x v="0"/>
    <n v="312259"/>
    <x v="28"/>
    <x v="0"/>
    <x v="0"/>
    <x v="4"/>
  </r>
  <r>
    <x v="4"/>
    <x v="0"/>
    <n v="311895"/>
    <x v="34"/>
    <x v="2"/>
    <x v="2"/>
    <x v="4"/>
  </r>
  <r>
    <x v="4"/>
    <x v="4"/>
    <n v="213849"/>
    <x v="58"/>
    <x v="1"/>
    <x v="1"/>
    <x v="4"/>
  </r>
  <r>
    <x v="4"/>
    <x v="0"/>
    <n v="206968"/>
    <x v="12"/>
    <x v="1"/>
    <x v="1"/>
    <x v="4"/>
  </r>
  <r>
    <x v="4"/>
    <x v="0"/>
    <n v="218732"/>
    <x v="29"/>
    <x v="0"/>
    <x v="0"/>
    <x v="4"/>
  </r>
  <r>
    <x v="4"/>
    <x v="0"/>
    <n v="218732"/>
    <x v="29"/>
    <x v="2"/>
    <x v="2"/>
    <x v="4"/>
  </r>
  <r>
    <x v="4"/>
    <x v="0"/>
    <n v="311895"/>
    <x v="34"/>
    <x v="0"/>
    <x v="0"/>
    <x v="4"/>
  </r>
  <r>
    <x v="4"/>
    <x v="0"/>
    <n v="211622"/>
    <x v="82"/>
    <x v="1"/>
    <x v="1"/>
    <x v="4"/>
  </r>
  <r>
    <x v="4"/>
    <x v="0"/>
    <n v="211622"/>
    <x v="82"/>
    <x v="0"/>
    <x v="0"/>
    <x v="4"/>
  </r>
  <r>
    <x v="4"/>
    <x v="0"/>
    <n v="321932"/>
    <x v="23"/>
    <x v="2"/>
    <x v="2"/>
    <x v="4"/>
  </r>
  <r>
    <x v="4"/>
    <x v="0"/>
    <n v="321932"/>
    <x v="23"/>
    <x v="1"/>
    <x v="1"/>
    <x v="4"/>
  </r>
  <r>
    <x v="4"/>
    <x v="0"/>
    <n v="203631"/>
    <x v="71"/>
    <x v="0"/>
    <x v="0"/>
    <x v="4"/>
  </r>
  <r>
    <x v="4"/>
    <x v="0"/>
    <n v="203631"/>
    <x v="71"/>
    <x v="2"/>
    <x v="2"/>
    <x v="4"/>
  </r>
  <r>
    <x v="4"/>
    <x v="0"/>
    <n v="302737"/>
    <x v="52"/>
    <x v="0"/>
    <x v="0"/>
    <x v="4"/>
  </r>
  <r>
    <x v="4"/>
    <x v="4"/>
    <n v="209209"/>
    <x v="32"/>
    <x v="1"/>
    <x v="1"/>
    <x v="4"/>
  </r>
  <r>
    <x v="4"/>
    <x v="0"/>
    <n v="211622"/>
    <x v="82"/>
    <x v="2"/>
    <x v="2"/>
    <x v="4"/>
  </r>
  <r>
    <x v="4"/>
    <x v="0"/>
    <n v="207404"/>
    <x v="16"/>
    <x v="0"/>
    <x v="0"/>
    <x v="4"/>
  </r>
  <r>
    <x v="4"/>
    <x v="0"/>
    <n v="207404"/>
    <x v="16"/>
    <x v="2"/>
    <x v="2"/>
    <x v="4"/>
  </r>
  <r>
    <x v="4"/>
    <x v="0"/>
    <n v="208277"/>
    <x v="25"/>
    <x v="2"/>
    <x v="2"/>
    <x v="4"/>
  </r>
  <r>
    <x v="4"/>
    <x v="0"/>
    <n v="169872"/>
    <x v="79"/>
    <x v="2"/>
    <x v="2"/>
    <x v="4"/>
  </r>
  <r>
    <x v="4"/>
    <x v="4"/>
    <n v="211470"/>
    <x v="53"/>
    <x v="1"/>
    <x v="1"/>
    <x v="4"/>
  </r>
  <r>
    <x v="4"/>
    <x v="0"/>
    <n v="210515"/>
    <x v="43"/>
    <x v="2"/>
    <x v="2"/>
    <x v="4"/>
  </r>
  <r>
    <x v="4"/>
    <x v="0"/>
    <n v="217678"/>
    <x v="104"/>
    <x v="0"/>
    <x v="0"/>
    <x v="4"/>
  </r>
  <r>
    <x v="4"/>
    <x v="0"/>
    <n v="217678"/>
    <x v="104"/>
    <x v="2"/>
    <x v="2"/>
    <x v="4"/>
  </r>
  <r>
    <x v="4"/>
    <x v="0"/>
    <n v="213849"/>
    <x v="58"/>
    <x v="0"/>
    <x v="0"/>
    <x v="4"/>
  </r>
  <r>
    <x v="4"/>
    <x v="0"/>
    <n v="213849"/>
    <x v="58"/>
    <x v="2"/>
    <x v="2"/>
    <x v="4"/>
  </r>
  <r>
    <x v="4"/>
    <x v="3"/>
    <n v="302737"/>
    <x v="52"/>
    <x v="1"/>
    <x v="1"/>
    <x v="4"/>
  </r>
  <r>
    <x v="4"/>
    <x v="0"/>
    <n v="169872"/>
    <x v="79"/>
    <x v="0"/>
    <x v="0"/>
    <x v="4"/>
  </r>
  <r>
    <x v="4"/>
    <x v="0"/>
    <n v="210557"/>
    <x v="47"/>
    <x v="2"/>
    <x v="2"/>
    <x v="4"/>
  </r>
  <r>
    <x v="4"/>
    <x v="0"/>
    <n v="300219"/>
    <x v="3"/>
    <x v="2"/>
    <x v="2"/>
    <x v="4"/>
  </r>
  <r>
    <x v="4"/>
    <x v="0"/>
    <n v="158751"/>
    <x v="54"/>
    <x v="0"/>
    <x v="0"/>
    <x v="4"/>
  </r>
  <r>
    <x v="4"/>
    <x v="0"/>
    <n v="311895"/>
    <x v="34"/>
    <x v="1"/>
    <x v="1"/>
    <x v="4"/>
  </r>
  <r>
    <x v="4"/>
    <x v="0"/>
    <n v="210557"/>
    <x v="47"/>
    <x v="0"/>
    <x v="0"/>
    <x v="4"/>
  </r>
  <r>
    <x v="4"/>
    <x v="0"/>
    <n v="211415"/>
    <x v="50"/>
    <x v="1"/>
    <x v="1"/>
    <x v="4"/>
  </r>
  <r>
    <x v="4"/>
    <x v="0"/>
    <n v="158751"/>
    <x v="54"/>
    <x v="2"/>
    <x v="2"/>
    <x v="4"/>
  </r>
  <r>
    <x v="4"/>
    <x v="0"/>
    <n v="160030"/>
    <x v="55"/>
    <x v="0"/>
    <x v="0"/>
    <x v="4"/>
  </r>
  <r>
    <x v="4"/>
    <x v="0"/>
    <n v="160030"/>
    <x v="55"/>
    <x v="2"/>
    <x v="2"/>
    <x v="4"/>
  </r>
  <r>
    <x v="4"/>
    <x v="0"/>
    <n v="205228"/>
    <x v="44"/>
    <x v="0"/>
    <x v="0"/>
    <x v="4"/>
  </r>
  <r>
    <x v="4"/>
    <x v="0"/>
    <n v="205228"/>
    <x v="44"/>
    <x v="2"/>
    <x v="2"/>
    <x v="4"/>
  </r>
  <r>
    <x v="4"/>
    <x v="4"/>
    <n v="302769"/>
    <x v="49"/>
    <x v="1"/>
    <x v="1"/>
    <x v="4"/>
  </r>
  <r>
    <x v="4"/>
    <x v="0"/>
    <n v="209211"/>
    <x v="33"/>
    <x v="1"/>
    <x v="1"/>
    <x v="4"/>
  </r>
  <r>
    <x v="4"/>
    <x v="0"/>
    <n v="117230"/>
    <x v="73"/>
    <x v="2"/>
    <x v="2"/>
    <x v="4"/>
  </r>
  <r>
    <x v="4"/>
    <x v="0"/>
    <n v="206298"/>
    <x v="14"/>
    <x v="0"/>
    <x v="0"/>
    <x v="4"/>
  </r>
  <r>
    <x v="4"/>
    <x v="0"/>
    <n v="117230"/>
    <x v="73"/>
    <x v="0"/>
    <x v="0"/>
    <x v="4"/>
  </r>
  <r>
    <x v="4"/>
    <x v="0"/>
    <n v="316646"/>
    <x v="6"/>
    <x v="2"/>
    <x v="2"/>
    <x v="4"/>
  </r>
  <r>
    <x v="4"/>
    <x v="2"/>
    <n v="210557"/>
    <x v="47"/>
    <x v="1"/>
    <x v="1"/>
    <x v="4"/>
  </r>
  <r>
    <x v="4"/>
    <x v="0"/>
    <n v="206298"/>
    <x v="14"/>
    <x v="2"/>
    <x v="2"/>
    <x v="4"/>
  </r>
  <r>
    <x v="4"/>
    <x v="0"/>
    <n v="300987"/>
    <x v="59"/>
    <x v="0"/>
    <x v="0"/>
    <x v="4"/>
  </r>
  <r>
    <x v="4"/>
    <x v="0"/>
    <n v="300987"/>
    <x v="59"/>
    <x v="2"/>
    <x v="2"/>
    <x v="4"/>
  </r>
  <r>
    <x v="4"/>
    <x v="0"/>
    <n v="211415"/>
    <x v="50"/>
    <x v="0"/>
    <x v="0"/>
    <x v="4"/>
  </r>
  <r>
    <x v="4"/>
    <x v="0"/>
    <n v="211415"/>
    <x v="50"/>
    <x v="2"/>
    <x v="2"/>
    <x v="4"/>
  </r>
  <r>
    <x v="4"/>
    <x v="0"/>
    <n v="158311"/>
    <x v="60"/>
    <x v="0"/>
    <x v="0"/>
    <x v="4"/>
  </r>
  <r>
    <x v="4"/>
    <x v="0"/>
    <n v="302856"/>
    <x v="46"/>
    <x v="0"/>
    <x v="0"/>
    <x v="4"/>
  </r>
  <r>
    <x v="4"/>
    <x v="0"/>
    <n v="300169"/>
    <x v="5"/>
    <x v="2"/>
    <x v="2"/>
    <x v="4"/>
  </r>
  <r>
    <x v="4"/>
    <x v="0"/>
    <n v="205349"/>
    <x v="39"/>
    <x v="2"/>
    <x v="2"/>
    <x v="4"/>
  </r>
  <r>
    <x v="4"/>
    <x v="0"/>
    <n v="158311"/>
    <x v="60"/>
    <x v="2"/>
    <x v="2"/>
    <x v="4"/>
  </r>
  <r>
    <x v="4"/>
    <x v="0"/>
    <n v="205349"/>
    <x v="39"/>
    <x v="0"/>
    <x v="0"/>
    <x v="4"/>
  </r>
  <r>
    <x v="4"/>
    <x v="0"/>
    <n v="210001"/>
    <x v="36"/>
    <x v="0"/>
    <x v="0"/>
    <x v="4"/>
  </r>
  <r>
    <x v="4"/>
    <x v="0"/>
    <n v="210515"/>
    <x v="43"/>
    <x v="1"/>
    <x v="1"/>
    <x v="4"/>
  </r>
  <r>
    <x v="4"/>
    <x v="0"/>
    <n v="218623"/>
    <x v="65"/>
    <x v="2"/>
    <x v="2"/>
    <x v="4"/>
  </r>
  <r>
    <x v="4"/>
    <x v="0"/>
    <n v="218623"/>
    <x v="65"/>
    <x v="1"/>
    <x v="1"/>
    <x v="4"/>
  </r>
  <r>
    <x v="4"/>
    <x v="0"/>
    <n v="301805"/>
    <x v="64"/>
    <x v="2"/>
    <x v="2"/>
    <x v="4"/>
  </r>
  <r>
    <x v="4"/>
    <x v="0"/>
    <n v="301805"/>
    <x v="64"/>
    <x v="1"/>
    <x v="1"/>
    <x v="4"/>
  </r>
  <r>
    <x v="4"/>
    <x v="0"/>
    <n v="302737"/>
    <x v="52"/>
    <x v="2"/>
    <x v="2"/>
    <x v="4"/>
  </r>
  <r>
    <x v="4"/>
    <x v="0"/>
    <n v="117442"/>
    <x v="68"/>
    <x v="0"/>
    <x v="0"/>
    <x v="4"/>
  </r>
  <r>
    <x v="4"/>
    <x v="0"/>
    <n v="117442"/>
    <x v="68"/>
    <x v="2"/>
    <x v="2"/>
    <x v="4"/>
  </r>
  <r>
    <x v="4"/>
    <x v="5"/>
    <n v="302988"/>
    <x v="45"/>
    <x v="1"/>
    <x v="1"/>
    <x v="4"/>
  </r>
  <r>
    <x v="4"/>
    <x v="5"/>
    <n v="303221"/>
    <x v="38"/>
    <x v="1"/>
    <x v="1"/>
    <x v="4"/>
  </r>
  <r>
    <x v="4"/>
    <x v="0"/>
    <n v="161520"/>
    <x v="77"/>
    <x v="2"/>
    <x v="2"/>
    <x v="4"/>
  </r>
  <r>
    <x v="4"/>
    <x v="0"/>
    <n v="161520"/>
    <x v="77"/>
    <x v="0"/>
    <x v="0"/>
    <x v="4"/>
  </r>
  <r>
    <x v="4"/>
    <x v="0"/>
    <n v="117456"/>
    <x v="80"/>
    <x v="2"/>
    <x v="2"/>
    <x v="4"/>
  </r>
  <r>
    <x v="4"/>
    <x v="0"/>
    <n v="210515"/>
    <x v="43"/>
    <x v="0"/>
    <x v="0"/>
    <x v="4"/>
  </r>
  <r>
    <x v="4"/>
    <x v="0"/>
    <n v="206348"/>
    <x v="4"/>
    <x v="2"/>
    <x v="2"/>
    <x v="4"/>
  </r>
  <r>
    <x v="4"/>
    <x v="0"/>
    <n v="300862"/>
    <x v="66"/>
    <x v="0"/>
    <x v="0"/>
    <x v="4"/>
  </r>
  <r>
    <x v="4"/>
    <x v="0"/>
    <n v="300862"/>
    <x v="66"/>
    <x v="2"/>
    <x v="2"/>
    <x v="4"/>
  </r>
  <r>
    <x v="4"/>
    <x v="0"/>
    <n v="218210"/>
    <x v="69"/>
    <x v="2"/>
    <x v="2"/>
    <x v="4"/>
  </r>
  <r>
    <x v="4"/>
    <x v="0"/>
    <n v="218210"/>
    <x v="69"/>
    <x v="1"/>
    <x v="1"/>
    <x v="4"/>
  </r>
  <r>
    <x v="4"/>
    <x v="0"/>
    <n v="206708"/>
    <x v="7"/>
    <x v="2"/>
    <x v="2"/>
    <x v="4"/>
  </r>
  <r>
    <x v="4"/>
    <x v="0"/>
    <n v="117456"/>
    <x v="80"/>
    <x v="0"/>
    <x v="0"/>
    <x v="4"/>
  </r>
  <r>
    <x v="4"/>
    <x v="0"/>
    <n v="303189"/>
    <x v="42"/>
    <x v="1"/>
    <x v="1"/>
    <x v="4"/>
  </r>
  <r>
    <x v="4"/>
    <x v="0"/>
    <n v="168458"/>
    <x v="75"/>
    <x v="2"/>
    <x v="2"/>
    <x v="4"/>
  </r>
  <r>
    <x v="4"/>
    <x v="0"/>
    <n v="168458"/>
    <x v="75"/>
    <x v="0"/>
    <x v="0"/>
    <x v="4"/>
  </r>
  <r>
    <x v="4"/>
    <x v="0"/>
    <n v="218628"/>
    <x v="76"/>
    <x v="2"/>
    <x v="2"/>
    <x v="4"/>
  </r>
  <r>
    <x v="4"/>
    <x v="3"/>
    <n v="210127"/>
    <x v="41"/>
    <x v="1"/>
    <x v="1"/>
    <x v="4"/>
  </r>
  <r>
    <x v="4"/>
    <x v="0"/>
    <n v="207743"/>
    <x v="20"/>
    <x v="2"/>
    <x v="2"/>
    <x v="4"/>
  </r>
  <r>
    <x v="4"/>
    <x v="0"/>
    <n v="300571"/>
    <x v="18"/>
    <x v="2"/>
    <x v="2"/>
    <x v="4"/>
  </r>
  <r>
    <x v="4"/>
    <x v="0"/>
    <n v="131643"/>
    <x v="0"/>
    <x v="0"/>
    <x v="0"/>
    <x v="4"/>
  </r>
  <r>
    <x v="4"/>
    <x v="0"/>
    <n v="131643"/>
    <x v="0"/>
    <x v="2"/>
    <x v="2"/>
    <x v="4"/>
  </r>
  <r>
    <x v="4"/>
    <x v="0"/>
    <n v="215020"/>
    <x v="72"/>
    <x v="2"/>
    <x v="2"/>
    <x v="4"/>
  </r>
  <r>
    <x v="4"/>
    <x v="0"/>
    <n v="218225"/>
    <x v="1"/>
    <x v="0"/>
    <x v="0"/>
    <x v="4"/>
  </r>
  <r>
    <x v="4"/>
    <x v="0"/>
    <n v="218225"/>
    <x v="1"/>
    <x v="2"/>
    <x v="2"/>
    <x v="4"/>
  </r>
  <r>
    <x v="4"/>
    <x v="0"/>
    <n v="210001"/>
    <x v="36"/>
    <x v="1"/>
    <x v="1"/>
    <x v="4"/>
  </r>
  <r>
    <x v="5"/>
    <x v="0"/>
    <n v="217678"/>
    <x v="104"/>
    <x v="2"/>
    <x v="2"/>
    <x v="5"/>
  </r>
  <r>
    <x v="5"/>
    <x v="0"/>
    <n v="169537"/>
    <x v="81"/>
    <x v="1"/>
    <x v="1"/>
    <x v="5"/>
  </r>
  <r>
    <x v="5"/>
    <x v="0"/>
    <n v="300219"/>
    <x v="3"/>
    <x v="0"/>
    <x v="0"/>
    <x v="5"/>
  </r>
  <r>
    <x v="5"/>
    <x v="0"/>
    <n v="210001"/>
    <x v="36"/>
    <x v="1"/>
    <x v="1"/>
    <x v="5"/>
  </r>
  <r>
    <x v="5"/>
    <x v="0"/>
    <n v="507"/>
    <x v="9"/>
    <x v="0"/>
    <x v="0"/>
    <x v="5"/>
  </r>
  <r>
    <x v="5"/>
    <x v="3"/>
    <n v="210127"/>
    <x v="41"/>
    <x v="1"/>
    <x v="1"/>
    <x v="5"/>
  </r>
  <r>
    <x v="5"/>
    <x v="0"/>
    <n v="300169"/>
    <x v="5"/>
    <x v="1"/>
    <x v="1"/>
    <x v="5"/>
  </r>
  <r>
    <x v="5"/>
    <x v="0"/>
    <n v="303189"/>
    <x v="42"/>
    <x v="1"/>
    <x v="1"/>
    <x v="5"/>
  </r>
  <r>
    <x v="5"/>
    <x v="3"/>
    <n v="507"/>
    <x v="9"/>
    <x v="2"/>
    <x v="2"/>
    <x v="5"/>
  </r>
  <r>
    <x v="5"/>
    <x v="0"/>
    <n v="210515"/>
    <x v="43"/>
    <x v="0"/>
    <x v="0"/>
    <x v="5"/>
  </r>
  <r>
    <x v="5"/>
    <x v="0"/>
    <n v="300169"/>
    <x v="5"/>
    <x v="0"/>
    <x v="0"/>
    <x v="5"/>
  </r>
  <r>
    <x v="5"/>
    <x v="3"/>
    <n v="507"/>
    <x v="9"/>
    <x v="1"/>
    <x v="1"/>
    <x v="5"/>
  </r>
  <r>
    <x v="5"/>
    <x v="0"/>
    <n v="686"/>
    <x v="26"/>
    <x v="1"/>
    <x v="1"/>
    <x v="5"/>
  </r>
  <r>
    <x v="5"/>
    <x v="0"/>
    <n v="210001"/>
    <x v="36"/>
    <x v="0"/>
    <x v="0"/>
    <x v="5"/>
  </r>
  <r>
    <x v="5"/>
    <x v="3"/>
    <n v="302988"/>
    <x v="45"/>
    <x v="1"/>
    <x v="1"/>
    <x v="5"/>
  </r>
  <r>
    <x v="5"/>
    <x v="5"/>
    <n v="303221"/>
    <x v="38"/>
    <x v="1"/>
    <x v="1"/>
    <x v="5"/>
  </r>
  <r>
    <x v="5"/>
    <x v="0"/>
    <n v="1733"/>
    <x v="37"/>
    <x v="0"/>
    <x v="0"/>
    <x v="5"/>
  </r>
  <r>
    <x v="5"/>
    <x v="0"/>
    <n v="210515"/>
    <x v="43"/>
    <x v="1"/>
    <x v="1"/>
    <x v="5"/>
  </r>
  <r>
    <x v="5"/>
    <x v="4"/>
    <n v="1733"/>
    <x v="37"/>
    <x v="2"/>
    <x v="2"/>
    <x v="5"/>
  </r>
  <r>
    <x v="5"/>
    <x v="0"/>
    <n v="1733"/>
    <x v="37"/>
    <x v="1"/>
    <x v="1"/>
    <x v="5"/>
  </r>
  <r>
    <x v="5"/>
    <x v="0"/>
    <n v="302856"/>
    <x v="46"/>
    <x v="0"/>
    <x v="0"/>
    <x v="5"/>
  </r>
  <r>
    <x v="5"/>
    <x v="3"/>
    <n v="210557"/>
    <x v="47"/>
    <x v="1"/>
    <x v="1"/>
    <x v="5"/>
  </r>
  <r>
    <x v="5"/>
    <x v="0"/>
    <n v="300219"/>
    <x v="3"/>
    <x v="1"/>
    <x v="1"/>
    <x v="5"/>
  </r>
  <r>
    <x v="5"/>
    <x v="0"/>
    <n v="2737"/>
    <x v="62"/>
    <x v="0"/>
    <x v="0"/>
    <x v="5"/>
  </r>
  <r>
    <x v="5"/>
    <x v="0"/>
    <n v="2737"/>
    <x v="62"/>
    <x v="1"/>
    <x v="1"/>
    <x v="5"/>
  </r>
  <r>
    <x v="5"/>
    <x v="0"/>
    <n v="209211"/>
    <x v="33"/>
    <x v="1"/>
    <x v="1"/>
    <x v="5"/>
  </r>
  <r>
    <x v="5"/>
    <x v="4"/>
    <n v="302769"/>
    <x v="49"/>
    <x v="1"/>
    <x v="1"/>
    <x v="5"/>
  </r>
  <r>
    <x v="5"/>
    <x v="0"/>
    <n v="211415"/>
    <x v="50"/>
    <x v="1"/>
    <x v="1"/>
    <x v="5"/>
  </r>
  <r>
    <x v="5"/>
    <x v="3"/>
    <n v="218987"/>
    <x v="8"/>
    <x v="1"/>
    <x v="1"/>
    <x v="5"/>
  </r>
  <r>
    <x v="5"/>
    <x v="0"/>
    <n v="311895"/>
    <x v="34"/>
    <x v="1"/>
    <x v="1"/>
    <x v="5"/>
  </r>
  <r>
    <x v="5"/>
    <x v="0"/>
    <n v="117230"/>
    <x v="73"/>
    <x v="1"/>
    <x v="1"/>
    <x v="5"/>
  </r>
  <r>
    <x v="5"/>
    <x v="0"/>
    <n v="117442"/>
    <x v="68"/>
    <x v="1"/>
    <x v="1"/>
    <x v="5"/>
  </r>
  <r>
    <x v="5"/>
    <x v="3"/>
    <n v="302737"/>
    <x v="52"/>
    <x v="1"/>
    <x v="1"/>
    <x v="5"/>
  </r>
  <r>
    <x v="5"/>
    <x v="3"/>
    <n v="211470"/>
    <x v="53"/>
    <x v="1"/>
    <x v="1"/>
    <x v="5"/>
  </r>
  <r>
    <x v="5"/>
    <x v="1"/>
    <n v="218987"/>
    <x v="8"/>
    <x v="2"/>
    <x v="2"/>
    <x v="5"/>
  </r>
  <r>
    <x v="5"/>
    <x v="0"/>
    <n v="117456"/>
    <x v="80"/>
    <x v="1"/>
    <x v="1"/>
    <x v="5"/>
  </r>
  <r>
    <x v="5"/>
    <x v="0"/>
    <n v="117501"/>
    <x v="84"/>
    <x v="1"/>
    <x v="1"/>
    <x v="5"/>
  </r>
  <r>
    <x v="5"/>
    <x v="4"/>
    <n v="209209"/>
    <x v="32"/>
    <x v="1"/>
    <x v="1"/>
    <x v="5"/>
  </r>
  <r>
    <x v="5"/>
    <x v="0"/>
    <n v="302737"/>
    <x v="52"/>
    <x v="0"/>
    <x v="0"/>
    <x v="5"/>
  </r>
  <r>
    <x v="5"/>
    <x v="0"/>
    <n v="211622"/>
    <x v="82"/>
    <x v="0"/>
    <x v="0"/>
    <x v="5"/>
  </r>
  <r>
    <x v="5"/>
    <x v="3"/>
    <n v="218987"/>
    <x v="8"/>
    <x v="0"/>
    <x v="0"/>
    <x v="5"/>
  </r>
  <r>
    <x v="5"/>
    <x v="3"/>
    <n v="117819"/>
    <x v="83"/>
    <x v="1"/>
    <x v="1"/>
    <x v="5"/>
  </r>
  <r>
    <x v="5"/>
    <x v="0"/>
    <n v="302335"/>
    <x v="70"/>
    <x v="1"/>
    <x v="1"/>
    <x v="5"/>
  </r>
  <r>
    <x v="5"/>
    <x v="0"/>
    <n v="312259"/>
    <x v="28"/>
    <x v="0"/>
    <x v="0"/>
    <x v="5"/>
  </r>
  <r>
    <x v="5"/>
    <x v="3"/>
    <n v="117866"/>
    <x v="87"/>
    <x v="1"/>
    <x v="1"/>
    <x v="5"/>
  </r>
  <r>
    <x v="5"/>
    <x v="4"/>
    <n v="213849"/>
    <x v="58"/>
    <x v="1"/>
    <x v="1"/>
    <x v="5"/>
  </r>
  <r>
    <x v="5"/>
    <x v="0"/>
    <n v="218916"/>
    <x v="17"/>
    <x v="1"/>
    <x v="1"/>
    <x v="5"/>
  </r>
  <r>
    <x v="5"/>
    <x v="3"/>
    <n v="214951"/>
    <x v="78"/>
    <x v="1"/>
    <x v="1"/>
    <x v="5"/>
  </r>
  <r>
    <x v="5"/>
    <x v="0"/>
    <n v="117986"/>
    <x v="92"/>
    <x v="0"/>
    <x v="0"/>
    <x v="5"/>
  </r>
  <r>
    <x v="5"/>
    <x v="0"/>
    <n v="209208"/>
    <x v="30"/>
    <x v="1"/>
    <x v="1"/>
    <x v="5"/>
  </r>
  <r>
    <x v="5"/>
    <x v="4"/>
    <n v="300363"/>
    <x v="11"/>
    <x v="0"/>
    <x v="0"/>
    <x v="5"/>
  </r>
  <r>
    <x v="5"/>
    <x v="5"/>
    <n v="117986"/>
    <x v="92"/>
    <x v="2"/>
    <x v="2"/>
    <x v="5"/>
  </r>
  <r>
    <x v="5"/>
    <x v="1"/>
    <n v="302335"/>
    <x v="70"/>
    <x v="0"/>
    <x v="0"/>
    <x v="5"/>
  </r>
  <r>
    <x v="5"/>
    <x v="3"/>
    <n v="215020"/>
    <x v="72"/>
    <x v="0"/>
    <x v="0"/>
    <x v="5"/>
  </r>
  <r>
    <x v="5"/>
    <x v="0"/>
    <n v="117986"/>
    <x v="92"/>
    <x v="1"/>
    <x v="1"/>
    <x v="5"/>
  </r>
  <r>
    <x v="5"/>
    <x v="0"/>
    <n v="118535"/>
    <x v="90"/>
    <x v="1"/>
    <x v="1"/>
    <x v="5"/>
  </r>
  <r>
    <x v="5"/>
    <x v="0"/>
    <n v="312259"/>
    <x v="28"/>
    <x v="1"/>
    <x v="1"/>
    <x v="5"/>
  </r>
  <r>
    <x v="5"/>
    <x v="0"/>
    <n v="218732"/>
    <x v="29"/>
    <x v="1"/>
    <x v="1"/>
    <x v="5"/>
  </r>
  <r>
    <x v="5"/>
    <x v="0"/>
    <n v="301983"/>
    <x v="85"/>
    <x v="1"/>
    <x v="1"/>
    <x v="5"/>
  </r>
  <r>
    <x v="5"/>
    <x v="0"/>
    <n v="215020"/>
    <x v="72"/>
    <x v="1"/>
    <x v="1"/>
    <x v="5"/>
  </r>
  <r>
    <x v="5"/>
    <x v="0"/>
    <n v="120762"/>
    <x v="103"/>
    <x v="0"/>
    <x v="0"/>
    <x v="5"/>
  </r>
  <r>
    <x v="5"/>
    <x v="0"/>
    <n v="120762"/>
    <x v="103"/>
    <x v="1"/>
    <x v="1"/>
    <x v="5"/>
  </r>
  <r>
    <x v="5"/>
    <x v="0"/>
    <n v="208277"/>
    <x v="25"/>
    <x v="1"/>
    <x v="1"/>
    <x v="5"/>
  </r>
  <r>
    <x v="5"/>
    <x v="0"/>
    <n v="218698"/>
    <x v="48"/>
    <x v="1"/>
    <x v="1"/>
    <x v="5"/>
  </r>
  <r>
    <x v="5"/>
    <x v="0"/>
    <n v="205985"/>
    <x v="27"/>
    <x v="2"/>
    <x v="2"/>
    <x v="5"/>
  </r>
  <r>
    <x v="5"/>
    <x v="0"/>
    <n v="218644"/>
    <x v="63"/>
    <x v="2"/>
    <x v="2"/>
    <x v="5"/>
  </r>
  <r>
    <x v="5"/>
    <x v="0"/>
    <n v="216476"/>
    <x v="94"/>
    <x v="0"/>
    <x v="0"/>
    <x v="5"/>
  </r>
  <r>
    <x v="5"/>
    <x v="0"/>
    <n v="216476"/>
    <x v="94"/>
    <x v="2"/>
    <x v="2"/>
    <x v="5"/>
  </r>
  <r>
    <x v="5"/>
    <x v="0"/>
    <n v="301983"/>
    <x v="85"/>
    <x v="0"/>
    <x v="0"/>
    <x v="5"/>
  </r>
  <r>
    <x v="5"/>
    <x v="0"/>
    <n v="312617"/>
    <x v="24"/>
    <x v="0"/>
    <x v="0"/>
    <x v="5"/>
  </r>
  <r>
    <x v="5"/>
    <x v="0"/>
    <n v="130744"/>
    <x v="97"/>
    <x v="0"/>
    <x v="0"/>
    <x v="5"/>
  </r>
  <r>
    <x v="5"/>
    <x v="0"/>
    <n v="144649"/>
    <x v="102"/>
    <x v="0"/>
    <x v="0"/>
    <x v="5"/>
  </r>
  <r>
    <x v="5"/>
    <x v="0"/>
    <n v="144649"/>
    <x v="102"/>
    <x v="2"/>
    <x v="2"/>
    <x v="5"/>
  </r>
  <r>
    <x v="5"/>
    <x v="0"/>
    <n v="169537"/>
    <x v="81"/>
    <x v="0"/>
    <x v="0"/>
    <x v="5"/>
  </r>
  <r>
    <x v="5"/>
    <x v="0"/>
    <n v="300571"/>
    <x v="18"/>
    <x v="0"/>
    <x v="0"/>
    <x v="5"/>
  </r>
  <r>
    <x v="5"/>
    <x v="0"/>
    <n v="208277"/>
    <x v="25"/>
    <x v="0"/>
    <x v="0"/>
    <x v="5"/>
  </r>
  <r>
    <x v="5"/>
    <x v="0"/>
    <n v="216476"/>
    <x v="94"/>
    <x v="1"/>
    <x v="1"/>
    <x v="5"/>
  </r>
  <r>
    <x v="5"/>
    <x v="0"/>
    <n v="169537"/>
    <x v="81"/>
    <x v="2"/>
    <x v="2"/>
    <x v="5"/>
  </r>
  <r>
    <x v="5"/>
    <x v="0"/>
    <n v="204615"/>
    <x v="67"/>
    <x v="0"/>
    <x v="0"/>
    <x v="5"/>
  </r>
  <r>
    <x v="5"/>
    <x v="0"/>
    <n v="204615"/>
    <x v="67"/>
    <x v="2"/>
    <x v="2"/>
    <x v="5"/>
  </r>
  <r>
    <x v="5"/>
    <x v="0"/>
    <n v="149445"/>
    <x v="99"/>
    <x v="0"/>
    <x v="0"/>
    <x v="5"/>
  </r>
  <r>
    <x v="5"/>
    <x v="0"/>
    <n v="149445"/>
    <x v="99"/>
    <x v="2"/>
    <x v="2"/>
    <x v="5"/>
  </r>
  <r>
    <x v="5"/>
    <x v="0"/>
    <n v="130744"/>
    <x v="97"/>
    <x v="1"/>
    <x v="1"/>
    <x v="5"/>
  </r>
  <r>
    <x v="5"/>
    <x v="0"/>
    <n v="312617"/>
    <x v="24"/>
    <x v="1"/>
    <x v="1"/>
    <x v="5"/>
  </r>
  <r>
    <x v="5"/>
    <x v="4"/>
    <n v="131643"/>
    <x v="0"/>
    <x v="1"/>
    <x v="1"/>
    <x v="5"/>
  </r>
  <r>
    <x v="5"/>
    <x v="0"/>
    <n v="314137"/>
    <x v="19"/>
    <x v="2"/>
    <x v="2"/>
    <x v="5"/>
  </r>
  <r>
    <x v="5"/>
    <x v="0"/>
    <n v="140302"/>
    <x v="100"/>
    <x v="1"/>
    <x v="1"/>
    <x v="5"/>
  </r>
  <r>
    <x v="5"/>
    <x v="3"/>
    <n v="207743"/>
    <x v="20"/>
    <x v="1"/>
    <x v="1"/>
    <x v="5"/>
  </r>
  <r>
    <x v="5"/>
    <x v="5"/>
    <n v="218674"/>
    <x v="57"/>
    <x v="1"/>
    <x v="1"/>
    <x v="5"/>
  </r>
  <r>
    <x v="5"/>
    <x v="0"/>
    <n v="314137"/>
    <x v="19"/>
    <x v="1"/>
    <x v="1"/>
    <x v="5"/>
  </r>
  <r>
    <x v="5"/>
    <x v="0"/>
    <n v="218916"/>
    <x v="17"/>
    <x v="0"/>
    <x v="0"/>
    <x v="5"/>
  </r>
  <r>
    <x v="5"/>
    <x v="0"/>
    <n v="218916"/>
    <x v="17"/>
    <x v="2"/>
    <x v="2"/>
    <x v="5"/>
  </r>
  <r>
    <x v="5"/>
    <x v="0"/>
    <n v="206236"/>
    <x v="22"/>
    <x v="0"/>
    <x v="0"/>
    <x v="5"/>
  </r>
  <r>
    <x v="5"/>
    <x v="0"/>
    <n v="144154"/>
    <x v="93"/>
    <x v="1"/>
    <x v="1"/>
    <x v="5"/>
  </r>
  <r>
    <x v="5"/>
    <x v="0"/>
    <n v="207743"/>
    <x v="20"/>
    <x v="0"/>
    <x v="0"/>
    <x v="5"/>
  </r>
  <r>
    <x v="5"/>
    <x v="0"/>
    <n v="301920"/>
    <x v="91"/>
    <x v="1"/>
    <x v="1"/>
    <x v="5"/>
  </r>
  <r>
    <x v="5"/>
    <x v="0"/>
    <n v="216566"/>
    <x v="96"/>
    <x v="1"/>
    <x v="1"/>
    <x v="5"/>
  </r>
  <r>
    <x v="5"/>
    <x v="0"/>
    <n v="312807"/>
    <x v="21"/>
    <x v="0"/>
    <x v="0"/>
    <x v="5"/>
  </r>
  <r>
    <x v="5"/>
    <x v="0"/>
    <n v="144649"/>
    <x v="102"/>
    <x v="1"/>
    <x v="1"/>
    <x v="5"/>
  </r>
  <r>
    <x v="5"/>
    <x v="0"/>
    <n v="206236"/>
    <x v="22"/>
    <x v="2"/>
    <x v="2"/>
    <x v="5"/>
  </r>
  <r>
    <x v="5"/>
    <x v="0"/>
    <n v="209209"/>
    <x v="32"/>
    <x v="0"/>
    <x v="0"/>
    <x v="5"/>
  </r>
  <r>
    <x v="5"/>
    <x v="0"/>
    <n v="209209"/>
    <x v="32"/>
    <x v="2"/>
    <x v="2"/>
    <x v="5"/>
  </r>
  <r>
    <x v="5"/>
    <x v="0"/>
    <n v="217081"/>
    <x v="13"/>
    <x v="0"/>
    <x v="0"/>
    <x v="5"/>
  </r>
  <r>
    <x v="5"/>
    <x v="0"/>
    <n v="217081"/>
    <x v="13"/>
    <x v="2"/>
    <x v="2"/>
    <x v="5"/>
  </r>
  <r>
    <x v="5"/>
    <x v="0"/>
    <n v="214951"/>
    <x v="78"/>
    <x v="0"/>
    <x v="0"/>
    <x v="5"/>
  </r>
  <r>
    <x v="5"/>
    <x v="0"/>
    <n v="214951"/>
    <x v="78"/>
    <x v="2"/>
    <x v="2"/>
    <x v="5"/>
  </r>
  <r>
    <x v="5"/>
    <x v="1"/>
    <n v="218644"/>
    <x v="63"/>
    <x v="1"/>
    <x v="1"/>
    <x v="5"/>
  </r>
  <r>
    <x v="5"/>
    <x v="3"/>
    <n v="207404"/>
    <x v="16"/>
    <x v="1"/>
    <x v="1"/>
    <x v="5"/>
  </r>
  <r>
    <x v="5"/>
    <x v="3"/>
    <n v="149445"/>
    <x v="99"/>
    <x v="1"/>
    <x v="1"/>
    <x v="5"/>
  </r>
  <r>
    <x v="5"/>
    <x v="0"/>
    <n v="300571"/>
    <x v="18"/>
    <x v="1"/>
    <x v="1"/>
    <x v="5"/>
  </r>
  <r>
    <x v="5"/>
    <x v="0"/>
    <n v="314137"/>
    <x v="19"/>
    <x v="0"/>
    <x v="0"/>
    <x v="5"/>
  </r>
  <r>
    <x v="5"/>
    <x v="0"/>
    <n v="158311"/>
    <x v="60"/>
    <x v="1"/>
    <x v="1"/>
    <x v="5"/>
  </r>
  <r>
    <x v="5"/>
    <x v="0"/>
    <n v="204952"/>
    <x v="56"/>
    <x v="0"/>
    <x v="0"/>
    <x v="5"/>
  </r>
  <r>
    <x v="5"/>
    <x v="0"/>
    <n v="204952"/>
    <x v="56"/>
    <x v="2"/>
    <x v="2"/>
    <x v="5"/>
  </r>
  <r>
    <x v="5"/>
    <x v="0"/>
    <n v="205104"/>
    <x v="51"/>
    <x v="0"/>
    <x v="0"/>
    <x v="5"/>
  </r>
  <r>
    <x v="5"/>
    <x v="0"/>
    <n v="205104"/>
    <x v="51"/>
    <x v="2"/>
    <x v="2"/>
    <x v="5"/>
  </r>
  <r>
    <x v="5"/>
    <x v="0"/>
    <n v="210127"/>
    <x v="41"/>
    <x v="0"/>
    <x v="0"/>
    <x v="5"/>
  </r>
  <r>
    <x v="5"/>
    <x v="0"/>
    <n v="210127"/>
    <x v="41"/>
    <x v="2"/>
    <x v="2"/>
    <x v="5"/>
  </r>
  <r>
    <x v="5"/>
    <x v="0"/>
    <n v="302988"/>
    <x v="45"/>
    <x v="2"/>
    <x v="2"/>
    <x v="5"/>
  </r>
  <r>
    <x v="5"/>
    <x v="0"/>
    <n v="206968"/>
    <x v="12"/>
    <x v="0"/>
    <x v="0"/>
    <x v="5"/>
  </r>
  <r>
    <x v="5"/>
    <x v="0"/>
    <n v="301809"/>
    <x v="95"/>
    <x v="0"/>
    <x v="0"/>
    <x v="5"/>
  </r>
  <r>
    <x v="5"/>
    <x v="0"/>
    <n v="218674"/>
    <x v="57"/>
    <x v="0"/>
    <x v="0"/>
    <x v="5"/>
  </r>
  <r>
    <x v="5"/>
    <x v="0"/>
    <n v="218674"/>
    <x v="57"/>
    <x v="2"/>
    <x v="2"/>
    <x v="5"/>
  </r>
  <r>
    <x v="5"/>
    <x v="0"/>
    <n v="217081"/>
    <x v="13"/>
    <x v="1"/>
    <x v="1"/>
    <x v="5"/>
  </r>
  <r>
    <x v="5"/>
    <x v="3"/>
    <n v="315199"/>
    <x v="15"/>
    <x v="1"/>
    <x v="1"/>
    <x v="5"/>
  </r>
  <r>
    <x v="5"/>
    <x v="0"/>
    <n v="302988"/>
    <x v="45"/>
    <x v="0"/>
    <x v="0"/>
    <x v="5"/>
  </r>
  <r>
    <x v="5"/>
    <x v="0"/>
    <n v="312259"/>
    <x v="28"/>
    <x v="2"/>
    <x v="2"/>
    <x v="5"/>
  </r>
  <r>
    <x v="5"/>
    <x v="0"/>
    <n v="117866"/>
    <x v="87"/>
    <x v="0"/>
    <x v="0"/>
    <x v="5"/>
  </r>
  <r>
    <x v="5"/>
    <x v="0"/>
    <n v="117866"/>
    <x v="87"/>
    <x v="2"/>
    <x v="2"/>
    <x v="5"/>
  </r>
  <r>
    <x v="5"/>
    <x v="0"/>
    <n v="161003"/>
    <x v="88"/>
    <x v="0"/>
    <x v="0"/>
    <x v="5"/>
  </r>
  <r>
    <x v="5"/>
    <x v="0"/>
    <n v="301983"/>
    <x v="85"/>
    <x v="2"/>
    <x v="2"/>
    <x v="5"/>
  </r>
  <r>
    <x v="5"/>
    <x v="0"/>
    <n v="206708"/>
    <x v="7"/>
    <x v="1"/>
    <x v="1"/>
    <x v="5"/>
  </r>
  <r>
    <x v="5"/>
    <x v="0"/>
    <n v="315199"/>
    <x v="15"/>
    <x v="2"/>
    <x v="2"/>
    <x v="5"/>
  </r>
  <r>
    <x v="5"/>
    <x v="0"/>
    <n v="161003"/>
    <x v="88"/>
    <x v="2"/>
    <x v="2"/>
    <x v="5"/>
  </r>
  <r>
    <x v="5"/>
    <x v="0"/>
    <n v="206968"/>
    <x v="12"/>
    <x v="2"/>
    <x v="2"/>
    <x v="5"/>
  </r>
  <r>
    <x v="5"/>
    <x v="0"/>
    <n v="206968"/>
    <x v="12"/>
    <x v="1"/>
    <x v="1"/>
    <x v="5"/>
  </r>
  <r>
    <x v="5"/>
    <x v="0"/>
    <n v="218732"/>
    <x v="29"/>
    <x v="0"/>
    <x v="0"/>
    <x v="5"/>
  </r>
  <r>
    <x v="5"/>
    <x v="0"/>
    <n v="315199"/>
    <x v="15"/>
    <x v="0"/>
    <x v="0"/>
    <x v="5"/>
  </r>
  <r>
    <x v="5"/>
    <x v="0"/>
    <n v="316646"/>
    <x v="6"/>
    <x v="0"/>
    <x v="0"/>
    <x v="5"/>
  </r>
  <r>
    <x v="5"/>
    <x v="0"/>
    <n v="218402"/>
    <x v="101"/>
    <x v="2"/>
    <x v="2"/>
    <x v="5"/>
  </r>
  <r>
    <x v="5"/>
    <x v="0"/>
    <n v="218732"/>
    <x v="29"/>
    <x v="2"/>
    <x v="2"/>
    <x v="5"/>
  </r>
  <r>
    <x v="5"/>
    <x v="0"/>
    <n v="321932"/>
    <x v="23"/>
    <x v="2"/>
    <x v="2"/>
    <x v="5"/>
  </r>
  <r>
    <x v="5"/>
    <x v="0"/>
    <n v="158751"/>
    <x v="54"/>
    <x v="1"/>
    <x v="1"/>
    <x v="5"/>
  </r>
  <r>
    <x v="5"/>
    <x v="0"/>
    <n v="206708"/>
    <x v="7"/>
    <x v="0"/>
    <x v="0"/>
    <x v="5"/>
  </r>
  <r>
    <x v="5"/>
    <x v="0"/>
    <n v="301805"/>
    <x v="64"/>
    <x v="0"/>
    <x v="0"/>
    <x v="5"/>
  </r>
  <r>
    <x v="5"/>
    <x v="0"/>
    <n v="321932"/>
    <x v="23"/>
    <x v="1"/>
    <x v="1"/>
    <x v="5"/>
  </r>
  <r>
    <x v="5"/>
    <x v="0"/>
    <n v="203631"/>
    <x v="71"/>
    <x v="0"/>
    <x v="0"/>
    <x v="5"/>
  </r>
  <r>
    <x v="5"/>
    <x v="0"/>
    <n v="203631"/>
    <x v="71"/>
    <x v="2"/>
    <x v="2"/>
    <x v="5"/>
  </r>
  <r>
    <x v="5"/>
    <x v="0"/>
    <n v="207404"/>
    <x v="16"/>
    <x v="0"/>
    <x v="0"/>
    <x v="5"/>
  </r>
  <r>
    <x v="5"/>
    <x v="0"/>
    <n v="207404"/>
    <x v="16"/>
    <x v="2"/>
    <x v="2"/>
    <x v="5"/>
  </r>
  <r>
    <x v="5"/>
    <x v="0"/>
    <n v="217678"/>
    <x v="104"/>
    <x v="1"/>
    <x v="1"/>
    <x v="5"/>
  </r>
  <r>
    <x v="5"/>
    <x v="0"/>
    <n v="316646"/>
    <x v="6"/>
    <x v="1"/>
    <x v="1"/>
    <x v="5"/>
  </r>
  <r>
    <x v="5"/>
    <x v="0"/>
    <n v="218402"/>
    <x v="101"/>
    <x v="0"/>
    <x v="0"/>
    <x v="5"/>
  </r>
  <r>
    <x v="5"/>
    <x v="0"/>
    <n v="210515"/>
    <x v="43"/>
    <x v="2"/>
    <x v="2"/>
    <x v="5"/>
  </r>
  <r>
    <x v="5"/>
    <x v="0"/>
    <n v="217678"/>
    <x v="104"/>
    <x v="0"/>
    <x v="0"/>
    <x v="5"/>
  </r>
  <r>
    <x v="5"/>
    <x v="0"/>
    <n v="218698"/>
    <x v="48"/>
    <x v="2"/>
    <x v="2"/>
    <x v="5"/>
  </r>
  <r>
    <x v="5"/>
    <x v="0"/>
    <n v="206348"/>
    <x v="4"/>
    <x v="1"/>
    <x v="1"/>
    <x v="5"/>
  </r>
  <r>
    <x v="5"/>
    <x v="0"/>
    <n v="218698"/>
    <x v="48"/>
    <x v="0"/>
    <x v="0"/>
    <x v="5"/>
  </r>
  <r>
    <x v="5"/>
    <x v="0"/>
    <n v="218210"/>
    <x v="69"/>
    <x v="0"/>
    <x v="0"/>
    <x v="5"/>
  </r>
  <r>
    <x v="5"/>
    <x v="0"/>
    <n v="213849"/>
    <x v="58"/>
    <x v="0"/>
    <x v="0"/>
    <x v="5"/>
  </r>
  <r>
    <x v="5"/>
    <x v="0"/>
    <n v="213849"/>
    <x v="58"/>
    <x v="2"/>
    <x v="2"/>
    <x v="5"/>
  </r>
  <r>
    <x v="5"/>
    <x v="0"/>
    <n v="300219"/>
    <x v="3"/>
    <x v="2"/>
    <x v="2"/>
    <x v="5"/>
  </r>
  <r>
    <x v="5"/>
    <x v="0"/>
    <n v="158751"/>
    <x v="54"/>
    <x v="0"/>
    <x v="0"/>
    <x v="5"/>
  </r>
  <r>
    <x v="5"/>
    <x v="0"/>
    <n v="140302"/>
    <x v="100"/>
    <x v="2"/>
    <x v="2"/>
    <x v="5"/>
  </r>
  <r>
    <x v="5"/>
    <x v="1"/>
    <n v="316879"/>
    <x v="2"/>
    <x v="0"/>
    <x v="0"/>
    <x v="5"/>
  </r>
  <r>
    <x v="5"/>
    <x v="0"/>
    <n v="140302"/>
    <x v="100"/>
    <x v="0"/>
    <x v="0"/>
    <x v="5"/>
  </r>
  <r>
    <x v="5"/>
    <x v="0"/>
    <n v="158751"/>
    <x v="54"/>
    <x v="2"/>
    <x v="2"/>
    <x v="5"/>
  </r>
  <r>
    <x v="5"/>
    <x v="0"/>
    <n v="160030"/>
    <x v="55"/>
    <x v="0"/>
    <x v="0"/>
    <x v="5"/>
  </r>
  <r>
    <x v="5"/>
    <x v="0"/>
    <n v="302335"/>
    <x v="70"/>
    <x v="2"/>
    <x v="2"/>
    <x v="5"/>
  </r>
  <r>
    <x v="5"/>
    <x v="0"/>
    <n v="206348"/>
    <x v="4"/>
    <x v="0"/>
    <x v="0"/>
    <x v="5"/>
  </r>
  <r>
    <x v="5"/>
    <x v="3"/>
    <n v="160030"/>
    <x v="55"/>
    <x v="1"/>
    <x v="1"/>
    <x v="5"/>
  </r>
  <r>
    <x v="5"/>
    <x v="0"/>
    <n v="160030"/>
    <x v="55"/>
    <x v="2"/>
    <x v="2"/>
    <x v="5"/>
  </r>
  <r>
    <x v="5"/>
    <x v="0"/>
    <n v="205228"/>
    <x v="44"/>
    <x v="0"/>
    <x v="0"/>
    <x v="5"/>
  </r>
  <r>
    <x v="5"/>
    <x v="0"/>
    <n v="205228"/>
    <x v="44"/>
    <x v="2"/>
    <x v="2"/>
    <x v="5"/>
  </r>
  <r>
    <x v="5"/>
    <x v="0"/>
    <n v="206298"/>
    <x v="14"/>
    <x v="0"/>
    <x v="0"/>
    <x v="5"/>
  </r>
  <r>
    <x v="5"/>
    <x v="0"/>
    <n v="206298"/>
    <x v="14"/>
    <x v="2"/>
    <x v="2"/>
    <x v="5"/>
  </r>
  <r>
    <x v="5"/>
    <x v="0"/>
    <n v="301760"/>
    <x v="89"/>
    <x v="1"/>
    <x v="1"/>
    <x v="5"/>
  </r>
  <r>
    <x v="5"/>
    <x v="0"/>
    <n v="317470"/>
    <x v="10"/>
    <x v="0"/>
    <x v="0"/>
    <x v="5"/>
  </r>
  <r>
    <x v="5"/>
    <x v="0"/>
    <n v="301229"/>
    <x v="98"/>
    <x v="1"/>
    <x v="1"/>
    <x v="5"/>
  </r>
  <r>
    <x v="5"/>
    <x v="0"/>
    <n v="300987"/>
    <x v="59"/>
    <x v="0"/>
    <x v="0"/>
    <x v="5"/>
  </r>
  <r>
    <x v="5"/>
    <x v="0"/>
    <n v="301229"/>
    <x v="98"/>
    <x v="2"/>
    <x v="2"/>
    <x v="5"/>
  </r>
  <r>
    <x v="5"/>
    <x v="0"/>
    <n v="206298"/>
    <x v="14"/>
    <x v="1"/>
    <x v="1"/>
    <x v="5"/>
  </r>
  <r>
    <x v="5"/>
    <x v="3"/>
    <n v="218225"/>
    <x v="1"/>
    <x v="1"/>
    <x v="1"/>
    <x v="5"/>
  </r>
  <r>
    <x v="5"/>
    <x v="0"/>
    <n v="300987"/>
    <x v="59"/>
    <x v="2"/>
    <x v="2"/>
    <x v="5"/>
  </r>
  <r>
    <x v="5"/>
    <x v="0"/>
    <n v="211415"/>
    <x v="50"/>
    <x v="0"/>
    <x v="0"/>
    <x v="5"/>
  </r>
  <r>
    <x v="5"/>
    <x v="0"/>
    <n v="211415"/>
    <x v="50"/>
    <x v="2"/>
    <x v="2"/>
    <x v="5"/>
  </r>
  <r>
    <x v="5"/>
    <x v="0"/>
    <n v="158311"/>
    <x v="60"/>
    <x v="0"/>
    <x v="0"/>
    <x v="5"/>
  </r>
  <r>
    <x v="5"/>
    <x v="0"/>
    <n v="158311"/>
    <x v="60"/>
    <x v="2"/>
    <x v="2"/>
    <x v="5"/>
  </r>
  <r>
    <x v="5"/>
    <x v="0"/>
    <n v="218623"/>
    <x v="65"/>
    <x v="2"/>
    <x v="2"/>
    <x v="5"/>
  </r>
  <r>
    <x v="5"/>
    <x v="0"/>
    <n v="130744"/>
    <x v="97"/>
    <x v="2"/>
    <x v="2"/>
    <x v="5"/>
  </r>
  <r>
    <x v="5"/>
    <x v="0"/>
    <n v="317470"/>
    <x v="10"/>
    <x v="1"/>
    <x v="1"/>
    <x v="5"/>
  </r>
  <r>
    <x v="5"/>
    <x v="0"/>
    <n v="117501"/>
    <x v="84"/>
    <x v="2"/>
    <x v="2"/>
    <x v="5"/>
  </r>
  <r>
    <x v="5"/>
    <x v="0"/>
    <n v="117501"/>
    <x v="84"/>
    <x v="0"/>
    <x v="0"/>
    <x v="5"/>
  </r>
  <r>
    <x v="5"/>
    <x v="3"/>
    <n v="206236"/>
    <x v="22"/>
    <x v="1"/>
    <x v="1"/>
    <x v="5"/>
  </r>
  <r>
    <x v="5"/>
    <x v="0"/>
    <n v="2737"/>
    <x v="62"/>
    <x v="2"/>
    <x v="2"/>
    <x v="5"/>
  </r>
  <r>
    <x v="5"/>
    <x v="0"/>
    <n v="218623"/>
    <x v="65"/>
    <x v="1"/>
    <x v="1"/>
    <x v="5"/>
  </r>
  <r>
    <x v="5"/>
    <x v="0"/>
    <n v="301805"/>
    <x v="64"/>
    <x v="2"/>
    <x v="2"/>
    <x v="5"/>
  </r>
  <r>
    <x v="5"/>
    <x v="0"/>
    <n v="301805"/>
    <x v="64"/>
    <x v="1"/>
    <x v="1"/>
    <x v="5"/>
  </r>
  <r>
    <x v="5"/>
    <x v="0"/>
    <n v="302737"/>
    <x v="52"/>
    <x v="2"/>
    <x v="2"/>
    <x v="5"/>
  </r>
  <r>
    <x v="5"/>
    <x v="0"/>
    <n v="117442"/>
    <x v="68"/>
    <x v="0"/>
    <x v="0"/>
    <x v="5"/>
  </r>
  <r>
    <x v="5"/>
    <x v="0"/>
    <n v="117442"/>
    <x v="68"/>
    <x v="2"/>
    <x v="2"/>
    <x v="5"/>
  </r>
  <r>
    <x v="5"/>
    <x v="0"/>
    <n v="206348"/>
    <x v="4"/>
    <x v="2"/>
    <x v="2"/>
    <x v="5"/>
  </r>
  <r>
    <x v="5"/>
    <x v="0"/>
    <n v="301760"/>
    <x v="89"/>
    <x v="0"/>
    <x v="0"/>
    <x v="5"/>
  </r>
  <r>
    <x v="5"/>
    <x v="0"/>
    <n v="321932"/>
    <x v="23"/>
    <x v="0"/>
    <x v="0"/>
    <x v="5"/>
  </r>
  <r>
    <x v="5"/>
    <x v="3"/>
    <n v="218644"/>
    <x v="63"/>
    <x v="0"/>
    <x v="0"/>
    <x v="5"/>
  </r>
  <r>
    <x v="5"/>
    <x v="4"/>
    <n v="161003"/>
    <x v="88"/>
    <x v="1"/>
    <x v="1"/>
    <x v="5"/>
  </r>
  <r>
    <x v="5"/>
    <x v="0"/>
    <n v="205985"/>
    <x v="27"/>
    <x v="1"/>
    <x v="1"/>
    <x v="5"/>
  </r>
  <r>
    <x v="5"/>
    <x v="0"/>
    <n v="218402"/>
    <x v="101"/>
    <x v="1"/>
    <x v="1"/>
    <x v="5"/>
  </r>
  <r>
    <x v="5"/>
    <x v="0"/>
    <n v="300862"/>
    <x v="66"/>
    <x v="0"/>
    <x v="0"/>
    <x v="5"/>
  </r>
  <r>
    <x v="5"/>
    <x v="0"/>
    <n v="300862"/>
    <x v="66"/>
    <x v="2"/>
    <x v="2"/>
    <x v="5"/>
  </r>
  <r>
    <x v="5"/>
    <x v="0"/>
    <n v="218210"/>
    <x v="69"/>
    <x v="2"/>
    <x v="2"/>
    <x v="5"/>
  </r>
  <r>
    <x v="5"/>
    <x v="0"/>
    <n v="218210"/>
    <x v="69"/>
    <x v="1"/>
    <x v="1"/>
    <x v="5"/>
  </r>
  <r>
    <x v="5"/>
    <x v="0"/>
    <n v="206708"/>
    <x v="7"/>
    <x v="2"/>
    <x v="2"/>
    <x v="5"/>
  </r>
  <r>
    <x v="5"/>
    <x v="0"/>
    <n v="207743"/>
    <x v="20"/>
    <x v="2"/>
    <x v="2"/>
    <x v="5"/>
  </r>
  <r>
    <x v="5"/>
    <x v="0"/>
    <n v="300571"/>
    <x v="18"/>
    <x v="2"/>
    <x v="2"/>
    <x v="5"/>
  </r>
  <r>
    <x v="5"/>
    <x v="0"/>
    <n v="216566"/>
    <x v="96"/>
    <x v="2"/>
    <x v="2"/>
    <x v="5"/>
  </r>
  <r>
    <x v="5"/>
    <x v="0"/>
    <n v="216566"/>
    <x v="96"/>
    <x v="0"/>
    <x v="0"/>
    <x v="5"/>
  </r>
  <r>
    <x v="5"/>
    <x v="0"/>
    <n v="323608"/>
    <x v="31"/>
    <x v="0"/>
    <x v="0"/>
    <x v="5"/>
  </r>
  <r>
    <x v="5"/>
    <x v="0"/>
    <n v="204939"/>
    <x v="61"/>
    <x v="2"/>
    <x v="2"/>
    <x v="5"/>
  </r>
  <r>
    <x v="5"/>
    <x v="3"/>
    <n v="205985"/>
    <x v="27"/>
    <x v="0"/>
    <x v="0"/>
    <x v="5"/>
  </r>
  <r>
    <x v="5"/>
    <x v="0"/>
    <n v="204939"/>
    <x v="61"/>
    <x v="0"/>
    <x v="0"/>
    <x v="5"/>
  </r>
  <r>
    <x v="5"/>
    <x v="0"/>
    <n v="131643"/>
    <x v="0"/>
    <x v="0"/>
    <x v="0"/>
    <x v="5"/>
  </r>
  <r>
    <x v="5"/>
    <x v="0"/>
    <n v="131643"/>
    <x v="0"/>
    <x v="2"/>
    <x v="2"/>
    <x v="5"/>
  </r>
  <r>
    <x v="5"/>
    <x v="0"/>
    <n v="215020"/>
    <x v="72"/>
    <x v="2"/>
    <x v="2"/>
    <x v="5"/>
  </r>
  <r>
    <x v="5"/>
    <x v="0"/>
    <n v="301229"/>
    <x v="98"/>
    <x v="0"/>
    <x v="0"/>
    <x v="5"/>
  </r>
  <r>
    <x v="5"/>
    <x v="0"/>
    <n v="323608"/>
    <x v="31"/>
    <x v="1"/>
    <x v="1"/>
    <x v="5"/>
  </r>
  <r>
    <x v="5"/>
    <x v="0"/>
    <n v="317470"/>
    <x v="10"/>
    <x v="2"/>
    <x v="2"/>
    <x v="5"/>
  </r>
  <r>
    <x v="5"/>
    <x v="0"/>
    <n v="218225"/>
    <x v="1"/>
    <x v="0"/>
    <x v="0"/>
    <x v="5"/>
  </r>
  <r>
    <x v="5"/>
    <x v="0"/>
    <n v="218225"/>
    <x v="1"/>
    <x v="2"/>
    <x v="2"/>
    <x v="5"/>
  </r>
  <r>
    <x v="5"/>
    <x v="0"/>
    <n v="218628"/>
    <x v="76"/>
    <x v="2"/>
    <x v="2"/>
    <x v="5"/>
  </r>
  <r>
    <x v="5"/>
    <x v="0"/>
    <n v="303219"/>
    <x v="40"/>
    <x v="2"/>
    <x v="2"/>
    <x v="5"/>
  </r>
  <r>
    <x v="5"/>
    <x v="4"/>
    <n v="205349"/>
    <x v="39"/>
    <x v="1"/>
    <x v="1"/>
    <x v="5"/>
  </r>
  <r>
    <x v="5"/>
    <x v="0"/>
    <n v="218616"/>
    <x v="86"/>
    <x v="1"/>
    <x v="1"/>
    <x v="5"/>
  </r>
  <r>
    <x v="5"/>
    <x v="1"/>
    <n v="324108"/>
    <x v="35"/>
    <x v="0"/>
    <x v="0"/>
    <x v="5"/>
  </r>
  <r>
    <x v="5"/>
    <x v="3"/>
    <n v="161520"/>
    <x v="77"/>
    <x v="1"/>
    <x v="1"/>
    <x v="5"/>
  </r>
  <r>
    <x v="5"/>
    <x v="0"/>
    <n v="303219"/>
    <x v="40"/>
    <x v="0"/>
    <x v="0"/>
    <x v="5"/>
  </r>
  <r>
    <x v="5"/>
    <x v="0"/>
    <n v="168458"/>
    <x v="75"/>
    <x v="0"/>
    <x v="0"/>
    <x v="5"/>
  </r>
  <r>
    <x v="5"/>
    <x v="0"/>
    <n v="168458"/>
    <x v="75"/>
    <x v="2"/>
    <x v="2"/>
    <x v="5"/>
  </r>
  <r>
    <x v="5"/>
    <x v="0"/>
    <n v="117456"/>
    <x v="80"/>
    <x v="0"/>
    <x v="0"/>
    <x v="5"/>
  </r>
  <r>
    <x v="5"/>
    <x v="0"/>
    <n v="117456"/>
    <x v="80"/>
    <x v="2"/>
    <x v="2"/>
    <x v="5"/>
  </r>
  <r>
    <x v="5"/>
    <x v="0"/>
    <n v="161520"/>
    <x v="77"/>
    <x v="0"/>
    <x v="0"/>
    <x v="5"/>
  </r>
  <r>
    <x v="5"/>
    <x v="0"/>
    <n v="161520"/>
    <x v="77"/>
    <x v="2"/>
    <x v="2"/>
    <x v="5"/>
  </r>
  <r>
    <x v="5"/>
    <x v="0"/>
    <n v="205349"/>
    <x v="39"/>
    <x v="0"/>
    <x v="0"/>
    <x v="5"/>
  </r>
  <r>
    <x v="5"/>
    <x v="0"/>
    <n v="303189"/>
    <x v="42"/>
    <x v="2"/>
    <x v="2"/>
    <x v="5"/>
  </r>
  <r>
    <x v="5"/>
    <x v="0"/>
    <n v="205228"/>
    <x v="44"/>
    <x v="1"/>
    <x v="1"/>
    <x v="5"/>
  </r>
  <r>
    <x v="5"/>
    <x v="0"/>
    <n v="303189"/>
    <x v="42"/>
    <x v="0"/>
    <x v="0"/>
    <x v="5"/>
  </r>
  <r>
    <x v="5"/>
    <x v="1"/>
    <n v="324108"/>
    <x v="35"/>
    <x v="2"/>
    <x v="2"/>
    <x v="5"/>
  </r>
  <r>
    <x v="5"/>
    <x v="0"/>
    <n v="301809"/>
    <x v="95"/>
    <x v="1"/>
    <x v="1"/>
    <x v="5"/>
  </r>
  <r>
    <x v="5"/>
    <x v="3"/>
    <n v="300987"/>
    <x v="59"/>
    <x v="1"/>
    <x v="1"/>
    <x v="5"/>
  </r>
  <r>
    <x v="5"/>
    <x v="0"/>
    <n v="205349"/>
    <x v="39"/>
    <x v="2"/>
    <x v="2"/>
    <x v="5"/>
  </r>
  <r>
    <x v="5"/>
    <x v="0"/>
    <n v="300169"/>
    <x v="5"/>
    <x v="2"/>
    <x v="2"/>
    <x v="5"/>
  </r>
  <r>
    <x v="5"/>
    <x v="0"/>
    <n v="316646"/>
    <x v="6"/>
    <x v="2"/>
    <x v="2"/>
    <x v="5"/>
  </r>
  <r>
    <x v="5"/>
    <x v="0"/>
    <n v="117230"/>
    <x v="73"/>
    <x v="0"/>
    <x v="0"/>
    <x v="5"/>
  </r>
  <r>
    <x v="5"/>
    <x v="0"/>
    <n v="117230"/>
    <x v="73"/>
    <x v="2"/>
    <x v="2"/>
    <x v="5"/>
  </r>
  <r>
    <x v="5"/>
    <x v="0"/>
    <n v="210557"/>
    <x v="47"/>
    <x v="0"/>
    <x v="0"/>
    <x v="5"/>
  </r>
  <r>
    <x v="5"/>
    <x v="0"/>
    <n v="210557"/>
    <x v="47"/>
    <x v="2"/>
    <x v="2"/>
    <x v="5"/>
  </r>
  <r>
    <x v="5"/>
    <x v="0"/>
    <n v="301809"/>
    <x v="95"/>
    <x v="2"/>
    <x v="2"/>
    <x v="5"/>
  </r>
  <r>
    <x v="5"/>
    <x v="3"/>
    <n v="205104"/>
    <x v="51"/>
    <x v="1"/>
    <x v="1"/>
    <x v="5"/>
  </r>
  <r>
    <x v="5"/>
    <x v="0"/>
    <n v="218623"/>
    <x v="65"/>
    <x v="0"/>
    <x v="0"/>
    <x v="5"/>
  </r>
  <r>
    <x v="5"/>
    <x v="1"/>
    <n v="324108"/>
    <x v="35"/>
    <x v="1"/>
    <x v="1"/>
    <x v="5"/>
  </r>
  <r>
    <x v="5"/>
    <x v="0"/>
    <n v="144154"/>
    <x v="93"/>
    <x v="2"/>
    <x v="2"/>
    <x v="5"/>
  </r>
  <r>
    <x v="5"/>
    <x v="0"/>
    <n v="300711"/>
    <x v="74"/>
    <x v="1"/>
    <x v="1"/>
    <x v="5"/>
  </r>
  <r>
    <x v="5"/>
    <x v="0"/>
    <n v="169872"/>
    <x v="79"/>
    <x v="0"/>
    <x v="0"/>
    <x v="5"/>
  </r>
  <r>
    <x v="5"/>
    <x v="0"/>
    <n v="169872"/>
    <x v="79"/>
    <x v="2"/>
    <x v="2"/>
    <x v="5"/>
  </r>
  <r>
    <x v="5"/>
    <x v="0"/>
    <n v="208277"/>
    <x v="25"/>
    <x v="2"/>
    <x v="2"/>
    <x v="5"/>
  </r>
  <r>
    <x v="5"/>
    <x v="0"/>
    <n v="211622"/>
    <x v="82"/>
    <x v="2"/>
    <x v="2"/>
    <x v="5"/>
  </r>
  <r>
    <x v="5"/>
    <x v="0"/>
    <n v="211622"/>
    <x v="82"/>
    <x v="1"/>
    <x v="1"/>
    <x v="5"/>
  </r>
  <r>
    <x v="5"/>
    <x v="0"/>
    <n v="311895"/>
    <x v="34"/>
    <x v="0"/>
    <x v="0"/>
    <x v="5"/>
  </r>
  <r>
    <x v="5"/>
    <x v="0"/>
    <n v="311895"/>
    <x v="34"/>
    <x v="2"/>
    <x v="2"/>
    <x v="5"/>
  </r>
  <r>
    <x v="5"/>
    <x v="4"/>
    <n v="168458"/>
    <x v="75"/>
    <x v="1"/>
    <x v="1"/>
    <x v="5"/>
  </r>
  <r>
    <x v="5"/>
    <x v="0"/>
    <n v="204952"/>
    <x v="56"/>
    <x v="1"/>
    <x v="1"/>
    <x v="5"/>
  </r>
  <r>
    <x v="5"/>
    <x v="0"/>
    <n v="144154"/>
    <x v="93"/>
    <x v="0"/>
    <x v="0"/>
    <x v="5"/>
  </r>
  <r>
    <x v="5"/>
    <x v="0"/>
    <n v="302856"/>
    <x v="46"/>
    <x v="2"/>
    <x v="2"/>
    <x v="5"/>
  </r>
  <r>
    <x v="5"/>
    <x v="0"/>
    <n v="302856"/>
    <x v="46"/>
    <x v="1"/>
    <x v="1"/>
    <x v="5"/>
  </r>
  <r>
    <x v="5"/>
    <x v="0"/>
    <n v="686"/>
    <x v="26"/>
    <x v="0"/>
    <x v="0"/>
    <x v="5"/>
  </r>
  <r>
    <x v="5"/>
    <x v="0"/>
    <n v="686"/>
    <x v="26"/>
    <x v="2"/>
    <x v="2"/>
    <x v="5"/>
  </r>
  <r>
    <x v="5"/>
    <x v="0"/>
    <n v="117819"/>
    <x v="83"/>
    <x v="0"/>
    <x v="0"/>
    <x v="5"/>
  </r>
  <r>
    <x v="5"/>
    <x v="0"/>
    <n v="117819"/>
    <x v="83"/>
    <x v="2"/>
    <x v="2"/>
    <x v="5"/>
  </r>
  <r>
    <x v="5"/>
    <x v="0"/>
    <n v="300363"/>
    <x v="11"/>
    <x v="1"/>
    <x v="1"/>
    <x v="5"/>
  </r>
  <r>
    <x v="5"/>
    <x v="0"/>
    <n v="204939"/>
    <x v="61"/>
    <x v="1"/>
    <x v="1"/>
    <x v="5"/>
  </r>
  <r>
    <x v="5"/>
    <x v="4"/>
    <n v="300862"/>
    <x v="66"/>
    <x v="1"/>
    <x v="1"/>
    <x v="5"/>
  </r>
  <r>
    <x v="5"/>
    <x v="0"/>
    <n v="209208"/>
    <x v="30"/>
    <x v="0"/>
    <x v="0"/>
    <x v="5"/>
  </r>
  <r>
    <x v="5"/>
    <x v="0"/>
    <n v="209208"/>
    <x v="30"/>
    <x v="2"/>
    <x v="2"/>
    <x v="5"/>
  </r>
  <r>
    <x v="5"/>
    <x v="0"/>
    <n v="211470"/>
    <x v="53"/>
    <x v="0"/>
    <x v="0"/>
    <x v="5"/>
  </r>
  <r>
    <x v="5"/>
    <x v="0"/>
    <n v="211470"/>
    <x v="53"/>
    <x v="2"/>
    <x v="2"/>
    <x v="5"/>
  </r>
  <r>
    <x v="5"/>
    <x v="0"/>
    <n v="218616"/>
    <x v="86"/>
    <x v="0"/>
    <x v="0"/>
    <x v="5"/>
  </r>
  <r>
    <x v="5"/>
    <x v="0"/>
    <n v="218616"/>
    <x v="86"/>
    <x v="2"/>
    <x v="2"/>
    <x v="5"/>
  </r>
  <r>
    <x v="5"/>
    <x v="0"/>
    <n v="300363"/>
    <x v="11"/>
    <x v="2"/>
    <x v="2"/>
    <x v="5"/>
  </r>
  <r>
    <x v="5"/>
    <x v="4"/>
    <n v="204615"/>
    <x v="67"/>
    <x v="1"/>
    <x v="1"/>
    <x v="5"/>
  </r>
  <r>
    <x v="5"/>
    <x v="3"/>
    <n v="218628"/>
    <x v="76"/>
    <x v="0"/>
    <x v="0"/>
    <x v="5"/>
  </r>
  <r>
    <x v="5"/>
    <x v="0"/>
    <n v="323608"/>
    <x v="31"/>
    <x v="2"/>
    <x v="2"/>
    <x v="5"/>
  </r>
  <r>
    <x v="5"/>
    <x v="0"/>
    <n v="312617"/>
    <x v="24"/>
    <x v="2"/>
    <x v="2"/>
    <x v="5"/>
  </r>
  <r>
    <x v="5"/>
    <x v="0"/>
    <n v="209211"/>
    <x v="33"/>
    <x v="0"/>
    <x v="0"/>
    <x v="5"/>
  </r>
  <r>
    <x v="5"/>
    <x v="0"/>
    <n v="209211"/>
    <x v="33"/>
    <x v="2"/>
    <x v="2"/>
    <x v="5"/>
  </r>
  <r>
    <x v="5"/>
    <x v="0"/>
    <n v="300711"/>
    <x v="74"/>
    <x v="0"/>
    <x v="0"/>
    <x v="5"/>
  </r>
  <r>
    <x v="5"/>
    <x v="0"/>
    <n v="300711"/>
    <x v="74"/>
    <x v="2"/>
    <x v="2"/>
    <x v="5"/>
  </r>
  <r>
    <x v="5"/>
    <x v="0"/>
    <n v="312807"/>
    <x v="21"/>
    <x v="1"/>
    <x v="1"/>
    <x v="5"/>
  </r>
  <r>
    <x v="5"/>
    <x v="0"/>
    <n v="203631"/>
    <x v="71"/>
    <x v="1"/>
    <x v="1"/>
    <x v="5"/>
  </r>
  <r>
    <x v="5"/>
    <x v="0"/>
    <n v="312807"/>
    <x v="21"/>
    <x v="2"/>
    <x v="2"/>
    <x v="5"/>
  </r>
  <r>
    <x v="5"/>
    <x v="0"/>
    <n v="301760"/>
    <x v="89"/>
    <x v="2"/>
    <x v="2"/>
    <x v="5"/>
  </r>
  <r>
    <x v="5"/>
    <x v="0"/>
    <n v="316879"/>
    <x v="2"/>
    <x v="2"/>
    <x v="2"/>
    <x v="5"/>
  </r>
  <r>
    <x v="5"/>
    <x v="0"/>
    <n v="316879"/>
    <x v="2"/>
    <x v="1"/>
    <x v="1"/>
    <x v="5"/>
  </r>
  <r>
    <x v="5"/>
    <x v="0"/>
    <n v="118535"/>
    <x v="90"/>
    <x v="0"/>
    <x v="0"/>
    <x v="5"/>
  </r>
  <r>
    <x v="5"/>
    <x v="0"/>
    <n v="118535"/>
    <x v="90"/>
    <x v="2"/>
    <x v="2"/>
    <x v="5"/>
  </r>
  <r>
    <x v="5"/>
    <x v="0"/>
    <n v="120762"/>
    <x v="103"/>
    <x v="2"/>
    <x v="2"/>
    <x v="5"/>
  </r>
  <r>
    <x v="5"/>
    <x v="0"/>
    <n v="303221"/>
    <x v="38"/>
    <x v="2"/>
    <x v="2"/>
    <x v="5"/>
  </r>
  <r>
    <x v="5"/>
    <x v="0"/>
    <n v="169872"/>
    <x v="79"/>
    <x v="1"/>
    <x v="1"/>
    <x v="5"/>
  </r>
  <r>
    <x v="5"/>
    <x v="3"/>
    <n v="218628"/>
    <x v="76"/>
    <x v="1"/>
    <x v="1"/>
    <x v="5"/>
  </r>
  <r>
    <x v="5"/>
    <x v="0"/>
    <n v="210001"/>
    <x v="36"/>
    <x v="2"/>
    <x v="2"/>
    <x v="5"/>
  </r>
  <r>
    <x v="5"/>
    <x v="0"/>
    <n v="301920"/>
    <x v="91"/>
    <x v="0"/>
    <x v="0"/>
    <x v="5"/>
  </r>
  <r>
    <x v="5"/>
    <x v="0"/>
    <n v="301920"/>
    <x v="91"/>
    <x v="2"/>
    <x v="2"/>
    <x v="5"/>
  </r>
  <r>
    <x v="5"/>
    <x v="0"/>
    <n v="302769"/>
    <x v="49"/>
    <x v="0"/>
    <x v="0"/>
    <x v="5"/>
  </r>
  <r>
    <x v="5"/>
    <x v="0"/>
    <n v="302769"/>
    <x v="49"/>
    <x v="2"/>
    <x v="2"/>
    <x v="5"/>
  </r>
  <r>
    <x v="5"/>
    <x v="0"/>
    <n v="303221"/>
    <x v="38"/>
    <x v="0"/>
    <x v="0"/>
    <x v="5"/>
  </r>
  <r>
    <x v="5"/>
    <x v="3"/>
    <n v="303219"/>
    <x v="40"/>
    <x v="1"/>
    <x v="1"/>
    <x v="5"/>
  </r>
  <r>
    <x v="6"/>
    <x v="0"/>
    <n v="169537"/>
    <x v="81"/>
    <x v="1"/>
    <x v="1"/>
    <x v="6"/>
  </r>
  <r>
    <x v="6"/>
    <x v="3"/>
    <n v="215020"/>
    <x v="72"/>
    <x v="0"/>
    <x v="0"/>
    <x v="6"/>
  </r>
  <r>
    <x v="6"/>
    <x v="0"/>
    <n v="169872"/>
    <x v="79"/>
    <x v="1"/>
    <x v="1"/>
    <x v="6"/>
  </r>
  <r>
    <x v="6"/>
    <x v="3"/>
    <n v="218628"/>
    <x v="76"/>
    <x v="0"/>
    <x v="0"/>
    <x v="6"/>
  </r>
  <r>
    <x v="6"/>
    <x v="0"/>
    <n v="203631"/>
    <x v="71"/>
    <x v="1"/>
    <x v="1"/>
    <x v="6"/>
  </r>
  <r>
    <x v="6"/>
    <x v="4"/>
    <n v="204615"/>
    <x v="67"/>
    <x v="1"/>
    <x v="1"/>
    <x v="6"/>
  </r>
  <r>
    <x v="6"/>
    <x v="0"/>
    <n v="204939"/>
    <x v="61"/>
    <x v="1"/>
    <x v="1"/>
    <x v="6"/>
  </r>
  <r>
    <x v="6"/>
    <x v="4"/>
    <n v="300862"/>
    <x v="66"/>
    <x v="1"/>
    <x v="1"/>
    <x v="6"/>
  </r>
  <r>
    <x v="6"/>
    <x v="4"/>
    <n v="168458"/>
    <x v="75"/>
    <x v="1"/>
    <x v="1"/>
    <x v="6"/>
  </r>
  <r>
    <x v="6"/>
    <x v="0"/>
    <n v="204952"/>
    <x v="56"/>
    <x v="1"/>
    <x v="1"/>
    <x v="6"/>
  </r>
  <r>
    <x v="6"/>
    <x v="0"/>
    <n v="218623"/>
    <x v="65"/>
    <x v="0"/>
    <x v="0"/>
    <x v="6"/>
  </r>
  <r>
    <x v="6"/>
    <x v="1"/>
    <n v="324108"/>
    <x v="35"/>
    <x v="1"/>
    <x v="1"/>
    <x v="6"/>
  </r>
  <r>
    <x v="6"/>
    <x v="3"/>
    <n v="205104"/>
    <x v="51"/>
    <x v="1"/>
    <x v="1"/>
    <x v="6"/>
  </r>
  <r>
    <x v="6"/>
    <x v="1"/>
    <n v="324108"/>
    <x v="35"/>
    <x v="2"/>
    <x v="2"/>
    <x v="6"/>
  </r>
  <r>
    <x v="6"/>
    <x v="3"/>
    <n v="300987"/>
    <x v="59"/>
    <x v="1"/>
    <x v="1"/>
    <x v="6"/>
  </r>
  <r>
    <x v="6"/>
    <x v="0"/>
    <n v="205228"/>
    <x v="44"/>
    <x v="1"/>
    <x v="1"/>
    <x v="6"/>
  </r>
  <r>
    <x v="6"/>
    <x v="0"/>
    <n v="218616"/>
    <x v="86"/>
    <x v="1"/>
    <x v="1"/>
    <x v="6"/>
  </r>
  <r>
    <x v="6"/>
    <x v="3"/>
    <n v="161520"/>
    <x v="77"/>
    <x v="1"/>
    <x v="1"/>
    <x v="6"/>
  </r>
  <r>
    <x v="6"/>
    <x v="3"/>
    <n v="324108"/>
    <x v="35"/>
    <x v="0"/>
    <x v="0"/>
    <x v="6"/>
  </r>
  <r>
    <x v="6"/>
    <x v="3"/>
    <n v="218628"/>
    <x v="76"/>
    <x v="1"/>
    <x v="1"/>
    <x v="6"/>
  </r>
  <r>
    <x v="6"/>
    <x v="3"/>
    <n v="205349"/>
    <x v="39"/>
    <x v="1"/>
    <x v="1"/>
    <x v="6"/>
  </r>
  <r>
    <x v="6"/>
    <x v="0"/>
    <n v="323608"/>
    <x v="31"/>
    <x v="1"/>
    <x v="1"/>
    <x v="6"/>
  </r>
  <r>
    <x v="6"/>
    <x v="0"/>
    <n v="301229"/>
    <x v="98"/>
    <x v="0"/>
    <x v="0"/>
    <x v="6"/>
  </r>
  <r>
    <x v="6"/>
    <x v="0"/>
    <n v="323608"/>
    <x v="31"/>
    <x v="0"/>
    <x v="0"/>
    <x v="6"/>
  </r>
  <r>
    <x v="6"/>
    <x v="0"/>
    <n v="218402"/>
    <x v="101"/>
    <x v="1"/>
    <x v="1"/>
    <x v="6"/>
  </r>
  <r>
    <x v="6"/>
    <x v="3"/>
    <n v="205985"/>
    <x v="27"/>
    <x v="0"/>
    <x v="0"/>
    <x v="6"/>
  </r>
  <r>
    <x v="6"/>
    <x v="3"/>
    <n v="161003"/>
    <x v="88"/>
    <x v="1"/>
    <x v="1"/>
    <x v="6"/>
  </r>
  <r>
    <x v="6"/>
    <x v="0"/>
    <n v="205985"/>
    <x v="27"/>
    <x v="1"/>
    <x v="1"/>
    <x v="6"/>
  </r>
  <r>
    <x v="6"/>
    <x v="0"/>
    <n v="321932"/>
    <x v="23"/>
    <x v="0"/>
    <x v="0"/>
    <x v="6"/>
  </r>
  <r>
    <x v="6"/>
    <x v="0"/>
    <n v="301760"/>
    <x v="89"/>
    <x v="0"/>
    <x v="0"/>
    <x v="6"/>
  </r>
  <r>
    <x v="6"/>
    <x v="3"/>
    <n v="206236"/>
    <x v="22"/>
    <x v="1"/>
    <x v="1"/>
    <x v="6"/>
  </r>
  <r>
    <x v="6"/>
    <x v="0"/>
    <n v="317470"/>
    <x v="10"/>
    <x v="1"/>
    <x v="1"/>
    <x v="6"/>
  </r>
  <r>
    <x v="6"/>
    <x v="3"/>
    <n v="218225"/>
    <x v="1"/>
    <x v="1"/>
    <x v="1"/>
    <x v="6"/>
  </r>
  <r>
    <x v="6"/>
    <x v="0"/>
    <n v="206298"/>
    <x v="14"/>
    <x v="1"/>
    <x v="1"/>
    <x v="6"/>
  </r>
  <r>
    <x v="6"/>
    <x v="0"/>
    <n v="317470"/>
    <x v="10"/>
    <x v="0"/>
    <x v="0"/>
    <x v="6"/>
  </r>
  <r>
    <x v="6"/>
    <x v="3"/>
    <n v="160030"/>
    <x v="55"/>
    <x v="1"/>
    <x v="1"/>
    <x v="6"/>
  </r>
  <r>
    <x v="6"/>
    <x v="0"/>
    <n v="301760"/>
    <x v="89"/>
    <x v="1"/>
    <x v="1"/>
    <x v="6"/>
  </r>
  <r>
    <x v="6"/>
    <x v="3"/>
    <n v="218644"/>
    <x v="63"/>
    <x v="0"/>
    <x v="0"/>
    <x v="6"/>
  </r>
  <r>
    <x v="6"/>
    <x v="0"/>
    <n v="206348"/>
    <x v="4"/>
    <x v="0"/>
    <x v="0"/>
    <x v="6"/>
  </r>
  <r>
    <x v="6"/>
    <x v="1"/>
    <n v="316879"/>
    <x v="2"/>
    <x v="0"/>
    <x v="0"/>
    <x v="6"/>
  </r>
  <r>
    <x v="6"/>
    <x v="0"/>
    <n v="218210"/>
    <x v="69"/>
    <x v="0"/>
    <x v="0"/>
    <x v="6"/>
  </r>
  <r>
    <x v="6"/>
    <x v="0"/>
    <n v="217678"/>
    <x v="104"/>
    <x v="1"/>
    <x v="1"/>
    <x v="6"/>
  </r>
  <r>
    <x v="6"/>
    <x v="0"/>
    <n v="206348"/>
    <x v="4"/>
    <x v="1"/>
    <x v="1"/>
    <x v="6"/>
  </r>
  <r>
    <x v="6"/>
    <x v="0"/>
    <n v="316646"/>
    <x v="6"/>
    <x v="1"/>
    <x v="1"/>
    <x v="6"/>
  </r>
  <r>
    <x v="6"/>
    <x v="0"/>
    <n v="158751"/>
    <x v="54"/>
    <x v="1"/>
    <x v="1"/>
    <x v="6"/>
  </r>
  <r>
    <x v="6"/>
    <x v="0"/>
    <n v="206708"/>
    <x v="7"/>
    <x v="0"/>
    <x v="0"/>
    <x v="6"/>
  </r>
  <r>
    <x v="6"/>
    <x v="0"/>
    <n v="300571"/>
    <x v="18"/>
    <x v="1"/>
    <x v="1"/>
    <x v="6"/>
  </r>
  <r>
    <x v="6"/>
    <x v="0"/>
    <n v="316646"/>
    <x v="6"/>
    <x v="0"/>
    <x v="0"/>
    <x v="6"/>
  </r>
  <r>
    <x v="6"/>
    <x v="0"/>
    <n v="301805"/>
    <x v="64"/>
    <x v="0"/>
    <x v="0"/>
    <x v="6"/>
  </r>
  <r>
    <x v="6"/>
    <x v="0"/>
    <n v="217081"/>
    <x v="13"/>
    <x v="1"/>
    <x v="1"/>
    <x v="6"/>
  </r>
  <r>
    <x v="6"/>
    <x v="0"/>
    <n v="206708"/>
    <x v="7"/>
    <x v="1"/>
    <x v="1"/>
    <x v="6"/>
  </r>
  <r>
    <x v="6"/>
    <x v="3"/>
    <n v="315199"/>
    <x v="15"/>
    <x v="1"/>
    <x v="1"/>
    <x v="6"/>
  </r>
  <r>
    <x v="6"/>
    <x v="0"/>
    <n v="206968"/>
    <x v="12"/>
    <x v="0"/>
    <x v="0"/>
    <x v="6"/>
  </r>
  <r>
    <x v="6"/>
    <x v="0"/>
    <n v="301760"/>
    <x v="89"/>
    <x v="2"/>
    <x v="2"/>
    <x v="6"/>
  </r>
  <r>
    <x v="6"/>
    <x v="0"/>
    <n v="158311"/>
    <x v="60"/>
    <x v="1"/>
    <x v="1"/>
    <x v="6"/>
  </r>
  <r>
    <x v="6"/>
    <x v="0"/>
    <n v="314137"/>
    <x v="19"/>
    <x v="0"/>
    <x v="0"/>
    <x v="6"/>
  </r>
  <r>
    <x v="6"/>
    <x v="0"/>
    <n v="301809"/>
    <x v="95"/>
    <x v="0"/>
    <x v="0"/>
    <x v="6"/>
  </r>
  <r>
    <x v="6"/>
    <x v="0"/>
    <n v="316879"/>
    <x v="2"/>
    <x v="2"/>
    <x v="2"/>
    <x v="6"/>
  </r>
  <r>
    <x v="6"/>
    <x v="0"/>
    <n v="316879"/>
    <x v="2"/>
    <x v="1"/>
    <x v="1"/>
    <x v="6"/>
  </r>
  <r>
    <x v="6"/>
    <x v="0"/>
    <n v="118535"/>
    <x v="90"/>
    <x v="0"/>
    <x v="0"/>
    <x v="6"/>
  </r>
  <r>
    <x v="6"/>
    <x v="0"/>
    <n v="118535"/>
    <x v="90"/>
    <x v="2"/>
    <x v="2"/>
    <x v="6"/>
  </r>
  <r>
    <x v="6"/>
    <x v="0"/>
    <n v="120762"/>
    <x v="103"/>
    <x v="2"/>
    <x v="2"/>
    <x v="6"/>
  </r>
  <r>
    <x v="6"/>
    <x v="0"/>
    <n v="300711"/>
    <x v="74"/>
    <x v="0"/>
    <x v="0"/>
    <x v="6"/>
  </r>
  <r>
    <x v="6"/>
    <x v="3"/>
    <n v="149445"/>
    <x v="99"/>
    <x v="1"/>
    <x v="1"/>
    <x v="6"/>
  </r>
  <r>
    <x v="6"/>
    <x v="0"/>
    <n v="216566"/>
    <x v="96"/>
    <x v="1"/>
    <x v="1"/>
    <x v="6"/>
  </r>
  <r>
    <x v="6"/>
    <x v="3"/>
    <n v="207404"/>
    <x v="16"/>
    <x v="1"/>
    <x v="1"/>
    <x v="6"/>
  </r>
  <r>
    <x v="6"/>
    <x v="0"/>
    <n v="300711"/>
    <x v="74"/>
    <x v="2"/>
    <x v="2"/>
    <x v="6"/>
  </r>
  <r>
    <x v="6"/>
    <x v="0"/>
    <n v="210001"/>
    <x v="36"/>
    <x v="2"/>
    <x v="2"/>
    <x v="6"/>
  </r>
  <r>
    <x v="6"/>
    <x v="0"/>
    <n v="301920"/>
    <x v="91"/>
    <x v="0"/>
    <x v="0"/>
    <x v="6"/>
  </r>
  <r>
    <x v="6"/>
    <x v="0"/>
    <n v="301920"/>
    <x v="91"/>
    <x v="2"/>
    <x v="2"/>
    <x v="6"/>
  </r>
  <r>
    <x v="6"/>
    <x v="0"/>
    <n v="302769"/>
    <x v="49"/>
    <x v="0"/>
    <x v="0"/>
    <x v="6"/>
  </r>
  <r>
    <x v="6"/>
    <x v="0"/>
    <n v="302769"/>
    <x v="49"/>
    <x v="2"/>
    <x v="2"/>
    <x v="6"/>
  </r>
  <r>
    <x v="6"/>
    <x v="0"/>
    <n v="144649"/>
    <x v="102"/>
    <x v="1"/>
    <x v="1"/>
    <x v="6"/>
  </r>
  <r>
    <x v="6"/>
    <x v="0"/>
    <n v="312807"/>
    <x v="21"/>
    <x v="0"/>
    <x v="0"/>
    <x v="6"/>
  </r>
  <r>
    <x v="6"/>
    <x v="1"/>
    <n v="218644"/>
    <x v="63"/>
    <x v="1"/>
    <x v="1"/>
    <x v="6"/>
  </r>
  <r>
    <x v="6"/>
    <x v="0"/>
    <n v="303221"/>
    <x v="38"/>
    <x v="0"/>
    <x v="0"/>
    <x v="6"/>
  </r>
  <r>
    <x v="6"/>
    <x v="0"/>
    <n v="303221"/>
    <x v="38"/>
    <x v="2"/>
    <x v="2"/>
    <x v="6"/>
  </r>
  <r>
    <x v="6"/>
    <x v="0"/>
    <n v="312807"/>
    <x v="21"/>
    <x v="2"/>
    <x v="2"/>
    <x v="6"/>
  </r>
  <r>
    <x v="6"/>
    <x v="0"/>
    <n v="312807"/>
    <x v="21"/>
    <x v="1"/>
    <x v="1"/>
    <x v="6"/>
  </r>
  <r>
    <x v="6"/>
    <x v="0"/>
    <n v="300363"/>
    <x v="11"/>
    <x v="2"/>
    <x v="2"/>
    <x v="6"/>
  </r>
  <r>
    <x v="6"/>
    <x v="0"/>
    <n v="300363"/>
    <x v="11"/>
    <x v="1"/>
    <x v="1"/>
    <x v="6"/>
  </r>
  <r>
    <x v="6"/>
    <x v="0"/>
    <n v="144154"/>
    <x v="93"/>
    <x v="0"/>
    <x v="0"/>
    <x v="6"/>
  </r>
  <r>
    <x v="6"/>
    <x v="0"/>
    <n v="144154"/>
    <x v="93"/>
    <x v="1"/>
    <x v="1"/>
    <x v="6"/>
  </r>
  <r>
    <x v="6"/>
    <x v="0"/>
    <n v="207743"/>
    <x v="20"/>
    <x v="0"/>
    <x v="0"/>
    <x v="6"/>
  </r>
  <r>
    <x v="6"/>
    <x v="0"/>
    <n v="301920"/>
    <x v="91"/>
    <x v="1"/>
    <x v="1"/>
    <x v="6"/>
  </r>
  <r>
    <x v="6"/>
    <x v="0"/>
    <n v="144154"/>
    <x v="93"/>
    <x v="2"/>
    <x v="2"/>
    <x v="6"/>
  </r>
  <r>
    <x v="6"/>
    <x v="0"/>
    <n v="301809"/>
    <x v="95"/>
    <x v="2"/>
    <x v="2"/>
    <x v="6"/>
  </r>
  <r>
    <x v="6"/>
    <x v="0"/>
    <n v="301809"/>
    <x v="95"/>
    <x v="1"/>
    <x v="1"/>
    <x v="6"/>
  </r>
  <r>
    <x v="6"/>
    <x v="0"/>
    <n v="303189"/>
    <x v="42"/>
    <x v="0"/>
    <x v="0"/>
    <x v="6"/>
  </r>
  <r>
    <x v="6"/>
    <x v="0"/>
    <n v="303189"/>
    <x v="42"/>
    <x v="2"/>
    <x v="2"/>
    <x v="6"/>
  </r>
  <r>
    <x v="6"/>
    <x v="0"/>
    <n v="303219"/>
    <x v="40"/>
    <x v="0"/>
    <x v="0"/>
    <x v="6"/>
  </r>
  <r>
    <x v="6"/>
    <x v="0"/>
    <n v="140302"/>
    <x v="100"/>
    <x v="1"/>
    <x v="1"/>
    <x v="6"/>
  </r>
  <r>
    <x v="6"/>
    <x v="3"/>
    <n v="207743"/>
    <x v="20"/>
    <x v="1"/>
    <x v="1"/>
    <x v="6"/>
  </r>
  <r>
    <x v="6"/>
    <x v="5"/>
    <n v="218674"/>
    <x v="57"/>
    <x v="1"/>
    <x v="1"/>
    <x v="6"/>
  </r>
  <r>
    <x v="6"/>
    <x v="0"/>
    <n v="303219"/>
    <x v="40"/>
    <x v="2"/>
    <x v="2"/>
    <x v="6"/>
  </r>
  <r>
    <x v="6"/>
    <x v="0"/>
    <n v="317470"/>
    <x v="10"/>
    <x v="2"/>
    <x v="2"/>
    <x v="6"/>
  </r>
  <r>
    <x v="6"/>
    <x v="0"/>
    <n v="216566"/>
    <x v="96"/>
    <x v="0"/>
    <x v="0"/>
    <x v="6"/>
  </r>
  <r>
    <x v="6"/>
    <x v="0"/>
    <n v="216566"/>
    <x v="96"/>
    <x v="2"/>
    <x v="2"/>
    <x v="6"/>
  </r>
  <r>
    <x v="6"/>
    <x v="0"/>
    <n v="2737"/>
    <x v="62"/>
    <x v="2"/>
    <x v="2"/>
    <x v="6"/>
  </r>
  <r>
    <x v="6"/>
    <x v="0"/>
    <n v="117501"/>
    <x v="84"/>
    <x v="0"/>
    <x v="0"/>
    <x v="6"/>
  </r>
  <r>
    <x v="6"/>
    <x v="4"/>
    <n v="131643"/>
    <x v="0"/>
    <x v="1"/>
    <x v="1"/>
    <x v="6"/>
  </r>
  <r>
    <x v="6"/>
    <x v="0"/>
    <n v="312617"/>
    <x v="24"/>
    <x v="1"/>
    <x v="1"/>
    <x v="6"/>
  </r>
  <r>
    <x v="6"/>
    <x v="0"/>
    <n v="300571"/>
    <x v="18"/>
    <x v="0"/>
    <x v="0"/>
    <x v="6"/>
  </r>
  <r>
    <x v="6"/>
    <x v="0"/>
    <n v="117501"/>
    <x v="84"/>
    <x v="2"/>
    <x v="2"/>
    <x v="6"/>
  </r>
  <r>
    <x v="6"/>
    <x v="0"/>
    <n v="130744"/>
    <x v="97"/>
    <x v="2"/>
    <x v="2"/>
    <x v="6"/>
  </r>
  <r>
    <x v="6"/>
    <x v="0"/>
    <n v="204939"/>
    <x v="61"/>
    <x v="0"/>
    <x v="0"/>
    <x v="6"/>
  </r>
  <r>
    <x v="6"/>
    <x v="0"/>
    <n v="204939"/>
    <x v="61"/>
    <x v="2"/>
    <x v="2"/>
    <x v="6"/>
  </r>
  <r>
    <x v="6"/>
    <x v="0"/>
    <n v="301229"/>
    <x v="98"/>
    <x v="2"/>
    <x v="2"/>
    <x v="6"/>
  </r>
  <r>
    <x v="6"/>
    <x v="0"/>
    <n v="301229"/>
    <x v="98"/>
    <x v="1"/>
    <x v="1"/>
    <x v="6"/>
  </r>
  <r>
    <x v="6"/>
    <x v="0"/>
    <n v="302335"/>
    <x v="70"/>
    <x v="2"/>
    <x v="2"/>
    <x v="6"/>
  </r>
  <r>
    <x v="6"/>
    <x v="0"/>
    <n v="130744"/>
    <x v="97"/>
    <x v="1"/>
    <x v="1"/>
    <x v="6"/>
  </r>
  <r>
    <x v="6"/>
    <x v="0"/>
    <n v="216476"/>
    <x v="94"/>
    <x v="1"/>
    <x v="1"/>
    <x v="6"/>
  </r>
  <r>
    <x v="6"/>
    <x v="0"/>
    <n v="208277"/>
    <x v="25"/>
    <x v="0"/>
    <x v="0"/>
    <x v="6"/>
  </r>
  <r>
    <x v="6"/>
    <x v="0"/>
    <n v="140302"/>
    <x v="100"/>
    <x v="0"/>
    <x v="0"/>
    <x v="6"/>
  </r>
  <r>
    <x v="6"/>
    <x v="0"/>
    <n v="140302"/>
    <x v="100"/>
    <x v="2"/>
    <x v="2"/>
    <x v="6"/>
  </r>
  <r>
    <x v="6"/>
    <x v="0"/>
    <n v="218698"/>
    <x v="48"/>
    <x v="0"/>
    <x v="0"/>
    <x v="6"/>
  </r>
  <r>
    <x v="6"/>
    <x v="0"/>
    <n v="218698"/>
    <x v="48"/>
    <x v="2"/>
    <x v="2"/>
    <x v="6"/>
  </r>
  <r>
    <x v="6"/>
    <x v="0"/>
    <n v="130744"/>
    <x v="97"/>
    <x v="0"/>
    <x v="0"/>
    <x v="6"/>
  </r>
  <r>
    <x v="6"/>
    <x v="0"/>
    <n v="312617"/>
    <x v="24"/>
    <x v="0"/>
    <x v="0"/>
    <x v="6"/>
  </r>
  <r>
    <x v="6"/>
    <x v="0"/>
    <n v="301983"/>
    <x v="85"/>
    <x v="0"/>
    <x v="0"/>
    <x v="6"/>
  </r>
  <r>
    <x v="6"/>
    <x v="0"/>
    <n v="218402"/>
    <x v="101"/>
    <x v="0"/>
    <x v="0"/>
    <x v="6"/>
  </r>
  <r>
    <x v="6"/>
    <x v="0"/>
    <n v="218402"/>
    <x v="101"/>
    <x v="2"/>
    <x v="2"/>
    <x v="6"/>
  </r>
  <r>
    <x v="6"/>
    <x v="0"/>
    <n v="315199"/>
    <x v="15"/>
    <x v="0"/>
    <x v="0"/>
    <x v="6"/>
  </r>
  <r>
    <x v="6"/>
    <x v="0"/>
    <n v="315199"/>
    <x v="15"/>
    <x v="2"/>
    <x v="2"/>
    <x v="6"/>
  </r>
  <r>
    <x v="6"/>
    <x v="0"/>
    <n v="301983"/>
    <x v="85"/>
    <x v="2"/>
    <x v="2"/>
    <x v="6"/>
  </r>
  <r>
    <x v="6"/>
    <x v="0"/>
    <n v="302988"/>
    <x v="45"/>
    <x v="0"/>
    <x v="0"/>
    <x v="6"/>
  </r>
  <r>
    <x v="6"/>
    <x v="0"/>
    <n v="302988"/>
    <x v="45"/>
    <x v="2"/>
    <x v="2"/>
    <x v="6"/>
  </r>
  <r>
    <x v="6"/>
    <x v="0"/>
    <n v="120762"/>
    <x v="103"/>
    <x v="1"/>
    <x v="1"/>
    <x v="6"/>
  </r>
  <r>
    <x v="6"/>
    <x v="0"/>
    <n v="208277"/>
    <x v="25"/>
    <x v="1"/>
    <x v="1"/>
    <x v="6"/>
  </r>
  <r>
    <x v="6"/>
    <x v="0"/>
    <n v="218698"/>
    <x v="48"/>
    <x v="1"/>
    <x v="1"/>
    <x v="6"/>
  </r>
  <r>
    <x v="6"/>
    <x v="0"/>
    <n v="205985"/>
    <x v="27"/>
    <x v="2"/>
    <x v="2"/>
    <x v="6"/>
  </r>
  <r>
    <x v="6"/>
    <x v="0"/>
    <n v="218644"/>
    <x v="63"/>
    <x v="2"/>
    <x v="2"/>
    <x v="6"/>
  </r>
  <r>
    <x v="6"/>
    <x v="0"/>
    <n v="144649"/>
    <x v="102"/>
    <x v="0"/>
    <x v="0"/>
    <x v="6"/>
  </r>
  <r>
    <x v="6"/>
    <x v="0"/>
    <n v="144649"/>
    <x v="102"/>
    <x v="2"/>
    <x v="2"/>
    <x v="6"/>
  </r>
  <r>
    <x v="6"/>
    <x v="0"/>
    <n v="169537"/>
    <x v="81"/>
    <x v="0"/>
    <x v="0"/>
    <x v="6"/>
  </r>
  <r>
    <x v="6"/>
    <x v="0"/>
    <n v="169537"/>
    <x v="81"/>
    <x v="2"/>
    <x v="2"/>
    <x v="6"/>
  </r>
  <r>
    <x v="6"/>
    <x v="0"/>
    <n v="204615"/>
    <x v="67"/>
    <x v="0"/>
    <x v="0"/>
    <x v="6"/>
  </r>
  <r>
    <x v="6"/>
    <x v="0"/>
    <n v="120762"/>
    <x v="103"/>
    <x v="0"/>
    <x v="0"/>
    <x v="6"/>
  </r>
  <r>
    <x v="6"/>
    <x v="0"/>
    <n v="215020"/>
    <x v="72"/>
    <x v="1"/>
    <x v="1"/>
    <x v="6"/>
  </r>
  <r>
    <x v="6"/>
    <x v="0"/>
    <n v="312259"/>
    <x v="28"/>
    <x v="1"/>
    <x v="1"/>
    <x v="6"/>
  </r>
  <r>
    <x v="6"/>
    <x v="0"/>
    <n v="204615"/>
    <x v="67"/>
    <x v="2"/>
    <x v="2"/>
    <x v="6"/>
  </r>
  <r>
    <x v="6"/>
    <x v="0"/>
    <n v="216476"/>
    <x v="94"/>
    <x v="0"/>
    <x v="0"/>
    <x v="6"/>
  </r>
  <r>
    <x v="6"/>
    <x v="0"/>
    <n v="216476"/>
    <x v="94"/>
    <x v="2"/>
    <x v="2"/>
    <x v="6"/>
  </r>
  <r>
    <x v="6"/>
    <x v="0"/>
    <n v="149445"/>
    <x v="99"/>
    <x v="0"/>
    <x v="0"/>
    <x v="6"/>
  </r>
  <r>
    <x v="6"/>
    <x v="0"/>
    <n v="149445"/>
    <x v="99"/>
    <x v="2"/>
    <x v="2"/>
    <x v="6"/>
  </r>
  <r>
    <x v="6"/>
    <x v="0"/>
    <n v="314137"/>
    <x v="19"/>
    <x v="2"/>
    <x v="2"/>
    <x v="6"/>
  </r>
  <r>
    <x v="6"/>
    <x v="0"/>
    <n v="118535"/>
    <x v="90"/>
    <x v="1"/>
    <x v="1"/>
    <x v="6"/>
  </r>
  <r>
    <x v="6"/>
    <x v="0"/>
    <n v="301983"/>
    <x v="85"/>
    <x v="1"/>
    <x v="1"/>
    <x v="6"/>
  </r>
  <r>
    <x v="6"/>
    <x v="0"/>
    <n v="218732"/>
    <x v="29"/>
    <x v="1"/>
    <x v="1"/>
    <x v="6"/>
  </r>
  <r>
    <x v="6"/>
    <x v="0"/>
    <n v="314137"/>
    <x v="19"/>
    <x v="1"/>
    <x v="1"/>
    <x v="6"/>
  </r>
  <r>
    <x v="6"/>
    <x v="0"/>
    <n v="206236"/>
    <x v="22"/>
    <x v="0"/>
    <x v="0"/>
    <x v="6"/>
  </r>
  <r>
    <x v="6"/>
    <x v="0"/>
    <n v="206236"/>
    <x v="22"/>
    <x v="2"/>
    <x v="2"/>
    <x v="6"/>
  </r>
  <r>
    <x v="6"/>
    <x v="0"/>
    <n v="209209"/>
    <x v="32"/>
    <x v="0"/>
    <x v="0"/>
    <x v="6"/>
  </r>
  <r>
    <x v="6"/>
    <x v="0"/>
    <n v="209209"/>
    <x v="32"/>
    <x v="2"/>
    <x v="2"/>
    <x v="6"/>
  </r>
  <r>
    <x v="6"/>
    <x v="0"/>
    <n v="217081"/>
    <x v="13"/>
    <x v="0"/>
    <x v="0"/>
    <x v="6"/>
  </r>
  <r>
    <x v="6"/>
    <x v="0"/>
    <n v="217081"/>
    <x v="13"/>
    <x v="2"/>
    <x v="2"/>
    <x v="6"/>
  </r>
  <r>
    <x v="6"/>
    <x v="0"/>
    <n v="117986"/>
    <x v="92"/>
    <x v="1"/>
    <x v="1"/>
    <x v="6"/>
  </r>
  <r>
    <x v="6"/>
    <x v="0"/>
    <n v="300711"/>
    <x v="74"/>
    <x v="1"/>
    <x v="1"/>
    <x v="6"/>
  </r>
  <r>
    <x v="6"/>
    <x v="4"/>
    <n v="300363"/>
    <x v="11"/>
    <x v="0"/>
    <x v="0"/>
    <x v="6"/>
  </r>
  <r>
    <x v="6"/>
    <x v="0"/>
    <n v="218916"/>
    <x v="17"/>
    <x v="0"/>
    <x v="0"/>
    <x v="6"/>
  </r>
  <r>
    <x v="6"/>
    <x v="0"/>
    <n v="218916"/>
    <x v="17"/>
    <x v="2"/>
    <x v="2"/>
    <x v="6"/>
  </r>
  <r>
    <x v="6"/>
    <x v="0"/>
    <n v="204952"/>
    <x v="56"/>
    <x v="0"/>
    <x v="0"/>
    <x v="6"/>
  </r>
  <r>
    <x v="6"/>
    <x v="0"/>
    <n v="204952"/>
    <x v="56"/>
    <x v="2"/>
    <x v="2"/>
    <x v="6"/>
  </r>
  <r>
    <x v="6"/>
    <x v="0"/>
    <n v="214951"/>
    <x v="78"/>
    <x v="0"/>
    <x v="0"/>
    <x v="6"/>
  </r>
  <r>
    <x v="6"/>
    <x v="0"/>
    <n v="214951"/>
    <x v="78"/>
    <x v="2"/>
    <x v="2"/>
    <x v="6"/>
  </r>
  <r>
    <x v="6"/>
    <x v="0"/>
    <n v="205104"/>
    <x v="51"/>
    <x v="0"/>
    <x v="0"/>
    <x v="6"/>
  </r>
  <r>
    <x v="6"/>
    <x v="5"/>
    <n v="117986"/>
    <x v="92"/>
    <x v="2"/>
    <x v="2"/>
    <x v="6"/>
  </r>
  <r>
    <x v="6"/>
    <x v="3"/>
    <n v="302335"/>
    <x v="70"/>
    <x v="0"/>
    <x v="0"/>
    <x v="6"/>
  </r>
  <r>
    <x v="6"/>
    <x v="3"/>
    <n v="214951"/>
    <x v="78"/>
    <x v="1"/>
    <x v="1"/>
    <x v="6"/>
  </r>
  <r>
    <x v="6"/>
    <x v="0"/>
    <n v="205104"/>
    <x v="51"/>
    <x v="2"/>
    <x v="2"/>
    <x v="6"/>
  </r>
  <r>
    <x v="6"/>
    <x v="0"/>
    <n v="210127"/>
    <x v="41"/>
    <x v="0"/>
    <x v="0"/>
    <x v="6"/>
  </r>
  <r>
    <x v="6"/>
    <x v="0"/>
    <n v="210127"/>
    <x v="41"/>
    <x v="2"/>
    <x v="2"/>
    <x v="6"/>
  </r>
  <r>
    <x v="6"/>
    <x v="0"/>
    <n v="218674"/>
    <x v="57"/>
    <x v="0"/>
    <x v="0"/>
    <x v="6"/>
  </r>
  <r>
    <x v="6"/>
    <x v="0"/>
    <n v="218674"/>
    <x v="57"/>
    <x v="2"/>
    <x v="2"/>
    <x v="6"/>
  </r>
  <r>
    <x v="6"/>
    <x v="0"/>
    <n v="312259"/>
    <x v="28"/>
    <x v="2"/>
    <x v="2"/>
    <x v="6"/>
  </r>
  <r>
    <x v="6"/>
    <x v="0"/>
    <n v="117866"/>
    <x v="87"/>
    <x v="0"/>
    <x v="0"/>
    <x v="6"/>
  </r>
  <r>
    <x v="6"/>
    <x v="0"/>
    <n v="117986"/>
    <x v="92"/>
    <x v="0"/>
    <x v="0"/>
    <x v="6"/>
  </r>
  <r>
    <x v="6"/>
    <x v="0"/>
    <n v="209208"/>
    <x v="30"/>
    <x v="1"/>
    <x v="1"/>
    <x v="6"/>
  </r>
  <r>
    <x v="6"/>
    <x v="4"/>
    <n v="213849"/>
    <x v="58"/>
    <x v="1"/>
    <x v="1"/>
    <x v="6"/>
  </r>
  <r>
    <x v="6"/>
    <x v="0"/>
    <n v="117866"/>
    <x v="87"/>
    <x v="2"/>
    <x v="2"/>
    <x v="6"/>
  </r>
  <r>
    <x v="6"/>
    <x v="0"/>
    <n v="161003"/>
    <x v="88"/>
    <x v="0"/>
    <x v="0"/>
    <x v="6"/>
  </r>
  <r>
    <x v="6"/>
    <x v="0"/>
    <n v="161003"/>
    <x v="88"/>
    <x v="2"/>
    <x v="2"/>
    <x v="6"/>
  </r>
  <r>
    <x v="6"/>
    <x v="0"/>
    <n v="206968"/>
    <x v="12"/>
    <x v="2"/>
    <x v="2"/>
    <x v="6"/>
  </r>
  <r>
    <x v="6"/>
    <x v="0"/>
    <n v="206968"/>
    <x v="12"/>
    <x v="1"/>
    <x v="1"/>
    <x v="6"/>
  </r>
  <r>
    <x v="6"/>
    <x v="0"/>
    <n v="218732"/>
    <x v="29"/>
    <x v="0"/>
    <x v="0"/>
    <x v="6"/>
  </r>
  <r>
    <x v="6"/>
    <x v="0"/>
    <n v="218732"/>
    <x v="29"/>
    <x v="2"/>
    <x v="2"/>
    <x v="6"/>
  </r>
  <r>
    <x v="6"/>
    <x v="3"/>
    <n v="117866"/>
    <x v="87"/>
    <x v="1"/>
    <x v="1"/>
    <x v="6"/>
  </r>
  <r>
    <x v="6"/>
    <x v="0"/>
    <n v="312259"/>
    <x v="28"/>
    <x v="0"/>
    <x v="0"/>
    <x v="6"/>
  </r>
  <r>
    <x v="6"/>
    <x v="0"/>
    <n v="218916"/>
    <x v="17"/>
    <x v="1"/>
    <x v="1"/>
    <x v="6"/>
  </r>
  <r>
    <x v="6"/>
    <x v="0"/>
    <n v="321932"/>
    <x v="23"/>
    <x v="2"/>
    <x v="2"/>
    <x v="6"/>
  </r>
  <r>
    <x v="6"/>
    <x v="0"/>
    <n v="321932"/>
    <x v="23"/>
    <x v="1"/>
    <x v="1"/>
    <x v="6"/>
  </r>
  <r>
    <x v="6"/>
    <x v="0"/>
    <n v="203631"/>
    <x v="71"/>
    <x v="0"/>
    <x v="0"/>
    <x v="6"/>
  </r>
  <r>
    <x v="6"/>
    <x v="0"/>
    <n v="203631"/>
    <x v="71"/>
    <x v="2"/>
    <x v="2"/>
    <x v="6"/>
  </r>
  <r>
    <x v="6"/>
    <x v="0"/>
    <n v="207404"/>
    <x v="16"/>
    <x v="0"/>
    <x v="0"/>
    <x v="6"/>
  </r>
  <r>
    <x v="6"/>
    <x v="0"/>
    <n v="207404"/>
    <x v="16"/>
    <x v="2"/>
    <x v="2"/>
    <x v="6"/>
  </r>
  <r>
    <x v="6"/>
    <x v="3"/>
    <n v="117819"/>
    <x v="83"/>
    <x v="1"/>
    <x v="1"/>
    <x v="6"/>
  </r>
  <r>
    <x v="6"/>
    <x v="0"/>
    <n v="302335"/>
    <x v="70"/>
    <x v="1"/>
    <x v="1"/>
    <x v="6"/>
  </r>
  <r>
    <x v="6"/>
    <x v="0"/>
    <n v="211622"/>
    <x v="82"/>
    <x v="0"/>
    <x v="0"/>
    <x v="6"/>
  </r>
  <r>
    <x v="6"/>
    <x v="0"/>
    <n v="210515"/>
    <x v="43"/>
    <x v="2"/>
    <x v="2"/>
    <x v="6"/>
  </r>
  <r>
    <x v="6"/>
    <x v="0"/>
    <n v="217678"/>
    <x v="104"/>
    <x v="0"/>
    <x v="0"/>
    <x v="6"/>
  </r>
  <r>
    <x v="6"/>
    <x v="0"/>
    <n v="117501"/>
    <x v="84"/>
    <x v="1"/>
    <x v="1"/>
    <x v="6"/>
  </r>
  <r>
    <x v="6"/>
    <x v="4"/>
    <n v="209209"/>
    <x v="32"/>
    <x v="1"/>
    <x v="1"/>
    <x v="6"/>
  </r>
  <r>
    <x v="6"/>
    <x v="3"/>
    <n v="218987"/>
    <x v="8"/>
    <x v="0"/>
    <x v="0"/>
    <x v="6"/>
  </r>
  <r>
    <x v="6"/>
    <x v="0"/>
    <n v="217678"/>
    <x v="104"/>
    <x v="2"/>
    <x v="2"/>
    <x v="6"/>
  </r>
  <r>
    <x v="6"/>
    <x v="0"/>
    <n v="300219"/>
    <x v="3"/>
    <x v="2"/>
    <x v="2"/>
    <x v="6"/>
  </r>
  <r>
    <x v="6"/>
    <x v="0"/>
    <n v="158751"/>
    <x v="54"/>
    <x v="0"/>
    <x v="0"/>
    <x v="6"/>
  </r>
  <r>
    <x v="6"/>
    <x v="0"/>
    <n v="158751"/>
    <x v="54"/>
    <x v="2"/>
    <x v="2"/>
    <x v="6"/>
  </r>
  <r>
    <x v="6"/>
    <x v="0"/>
    <n v="160030"/>
    <x v="55"/>
    <x v="0"/>
    <x v="0"/>
    <x v="6"/>
  </r>
  <r>
    <x v="6"/>
    <x v="0"/>
    <n v="160030"/>
    <x v="55"/>
    <x v="2"/>
    <x v="2"/>
    <x v="6"/>
  </r>
  <r>
    <x v="6"/>
    <x v="0"/>
    <n v="117456"/>
    <x v="80"/>
    <x v="1"/>
    <x v="1"/>
    <x v="6"/>
  </r>
  <r>
    <x v="6"/>
    <x v="0"/>
    <n v="302737"/>
    <x v="52"/>
    <x v="0"/>
    <x v="0"/>
    <x v="6"/>
  </r>
  <r>
    <x v="6"/>
    <x v="3"/>
    <n v="211470"/>
    <x v="53"/>
    <x v="1"/>
    <x v="1"/>
    <x v="6"/>
  </r>
  <r>
    <x v="6"/>
    <x v="0"/>
    <n v="205228"/>
    <x v="44"/>
    <x v="0"/>
    <x v="0"/>
    <x v="6"/>
  </r>
  <r>
    <x v="6"/>
    <x v="0"/>
    <n v="205228"/>
    <x v="44"/>
    <x v="2"/>
    <x v="2"/>
    <x v="6"/>
  </r>
  <r>
    <x v="6"/>
    <x v="0"/>
    <n v="206298"/>
    <x v="14"/>
    <x v="0"/>
    <x v="0"/>
    <x v="6"/>
  </r>
  <r>
    <x v="6"/>
    <x v="0"/>
    <n v="206298"/>
    <x v="14"/>
    <x v="2"/>
    <x v="2"/>
    <x v="6"/>
  </r>
  <r>
    <x v="6"/>
    <x v="0"/>
    <n v="213849"/>
    <x v="58"/>
    <x v="0"/>
    <x v="0"/>
    <x v="6"/>
  </r>
  <r>
    <x v="6"/>
    <x v="0"/>
    <n v="213849"/>
    <x v="58"/>
    <x v="2"/>
    <x v="2"/>
    <x v="6"/>
  </r>
  <r>
    <x v="6"/>
    <x v="0"/>
    <n v="117442"/>
    <x v="68"/>
    <x v="1"/>
    <x v="1"/>
    <x v="6"/>
  </r>
  <r>
    <x v="6"/>
    <x v="3"/>
    <n v="302737"/>
    <x v="52"/>
    <x v="1"/>
    <x v="1"/>
    <x v="6"/>
  </r>
  <r>
    <x v="6"/>
    <x v="1"/>
    <n v="218987"/>
    <x v="8"/>
    <x v="2"/>
    <x v="2"/>
    <x v="6"/>
  </r>
  <r>
    <x v="6"/>
    <x v="0"/>
    <n v="300987"/>
    <x v="59"/>
    <x v="0"/>
    <x v="0"/>
    <x v="6"/>
  </r>
  <r>
    <x v="6"/>
    <x v="0"/>
    <n v="300987"/>
    <x v="59"/>
    <x v="2"/>
    <x v="2"/>
    <x v="6"/>
  </r>
  <r>
    <x v="6"/>
    <x v="0"/>
    <n v="211415"/>
    <x v="50"/>
    <x v="0"/>
    <x v="0"/>
    <x v="6"/>
  </r>
  <r>
    <x v="6"/>
    <x v="0"/>
    <n v="211415"/>
    <x v="50"/>
    <x v="2"/>
    <x v="2"/>
    <x v="6"/>
  </r>
  <r>
    <x v="6"/>
    <x v="0"/>
    <n v="158311"/>
    <x v="60"/>
    <x v="0"/>
    <x v="0"/>
    <x v="6"/>
  </r>
  <r>
    <x v="6"/>
    <x v="0"/>
    <n v="158311"/>
    <x v="60"/>
    <x v="2"/>
    <x v="2"/>
    <x v="6"/>
  </r>
  <r>
    <x v="6"/>
    <x v="0"/>
    <n v="117230"/>
    <x v="73"/>
    <x v="1"/>
    <x v="1"/>
    <x v="6"/>
  </r>
  <r>
    <x v="6"/>
    <x v="0"/>
    <n v="311895"/>
    <x v="34"/>
    <x v="1"/>
    <x v="1"/>
    <x v="6"/>
  </r>
  <r>
    <x v="6"/>
    <x v="0"/>
    <n v="211415"/>
    <x v="50"/>
    <x v="1"/>
    <x v="1"/>
    <x v="6"/>
  </r>
  <r>
    <x v="6"/>
    <x v="0"/>
    <n v="218623"/>
    <x v="65"/>
    <x v="2"/>
    <x v="2"/>
    <x v="6"/>
  </r>
  <r>
    <x v="6"/>
    <x v="0"/>
    <n v="218623"/>
    <x v="65"/>
    <x v="1"/>
    <x v="1"/>
    <x v="6"/>
  </r>
  <r>
    <x v="6"/>
    <x v="0"/>
    <n v="301805"/>
    <x v="64"/>
    <x v="2"/>
    <x v="2"/>
    <x v="6"/>
  </r>
  <r>
    <x v="6"/>
    <x v="0"/>
    <n v="301805"/>
    <x v="64"/>
    <x v="1"/>
    <x v="1"/>
    <x v="6"/>
  </r>
  <r>
    <x v="6"/>
    <x v="0"/>
    <n v="117442"/>
    <x v="68"/>
    <x v="0"/>
    <x v="0"/>
    <x v="6"/>
  </r>
  <r>
    <x v="6"/>
    <x v="0"/>
    <n v="117442"/>
    <x v="68"/>
    <x v="2"/>
    <x v="2"/>
    <x v="6"/>
  </r>
  <r>
    <x v="6"/>
    <x v="0"/>
    <n v="206348"/>
    <x v="4"/>
    <x v="2"/>
    <x v="2"/>
    <x v="6"/>
  </r>
  <r>
    <x v="6"/>
    <x v="0"/>
    <n v="2737"/>
    <x v="62"/>
    <x v="1"/>
    <x v="1"/>
    <x v="6"/>
  </r>
  <r>
    <x v="6"/>
    <x v="0"/>
    <n v="209211"/>
    <x v="33"/>
    <x v="1"/>
    <x v="1"/>
    <x v="6"/>
  </r>
  <r>
    <x v="6"/>
    <x v="0"/>
    <n v="300219"/>
    <x v="3"/>
    <x v="1"/>
    <x v="1"/>
    <x v="6"/>
  </r>
  <r>
    <x v="6"/>
    <x v="0"/>
    <n v="300862"/>
    <x v="66"/>
    <x v="0"/>
    <x v="0"/>
    <x v="6"/>
  </r>
  <r>
    <x v="6"/>
    <x v="0"/>
    <n v="300862"/>
    <x v="66"/>
    <x v="2"/>
    <x v="2"/>
    <x v="6"/>
  </r>
  <r>
    <x v="6"/>
    <x v="0"/>
    <n v="302737"/>
    <x v="52"/>
    <x v="2"/>
    <x v="2"/>
    <x v="6"/>
  </r>
  <r>
    <x v="6"/>
    <x v="0"/>
    <n v="218210"/>
    <x v="69"/>
    <x v="2"/>
    <x v="2"/>
    <x v="6"/>
  </r>
  <r>
    <x v="6"/>
    <x v="0"/>
    <n v="218210"/>
    <x v="69"/>
    <x v="1"/>
    <x v="1"/>
    <x v="6"/>
  </r>
  <r>
    <x v="6"/>
    <x v="0"/>
    <n v="206708"/>
    <x v="7"/>
    <x v="2"/>
    <x v="2"/>
    <x v="6"/>
  </r>
  <r>
    <x v="6"/>
    <x v="0"/>
    <n v="207743"/>
    <x v="20"/>
    <x v="2"/>
    <x v="2"/>
    <x v="6"/>
  </r>
  <r>
    <x v="6"/>
    <x v="0"/>
    <n v="2737"/>
    <x v="62"/>
    <x v="0"/>
    <x v="0"/>
    <x v="6"/>
  </r>
  <r>
    <x v="6"/>
    <x v="4"/>
    <n v="302769"/>
    <x v="49"/>
    <x v="1"/>
    <x v="1"/>
    <x v="6"/>
  </r>
  <r>
    <x v="6"/>
    <x v="2"/>
    <n v="210557"/>
    <x v="47"/>
    <x v="1"/>
    <x v="1"/>
    <x v="6"/>
  </r>
  <r>
    <x v="6"/>
    <x v="0"/>
    <n v="300571"/>
    <x v="18"/>
    <x v="2"/>
    <x v="2"/>
    <x v="6"/>
  </r>
  <r>
    <x v="6"/>
    <x v="0"/>
    <n v="131643"/>
    <x v="0"/>
    <x v="0"/>
    <x v="0"/>
    <x v="6"/>
  </r>
  <r>
    <x v="6"/>
    <x v="0"/>
    <n v="131643"/>
    <x v="0"/>
    <x v="2"/>
    <x v="2"/>
    <x v="6"/>
  </r>
  <r>
    <x v="6"/>
    <x v="0"/>
    <n v="215020"/>
    <x v="72"/>
    <x v="2"/>
    <x v="2"/>
    <x v="6"/>
  </r>
  <r>
    <x v="6"/>
    <x v="0"/>
    <n v="218225"/>
    <x v="1"/>
    <x v="0"/>
    <x v="0"/>
    <x v="6"/>
  </r>
  <r>
    <x v="6"/>
    <x v="0"/>
    <n v="218225"/>
    <x v="1"/>
    <x v="2"/>
    <x v="2"/>
    <x v="6"/>
  </r>
  <r>
    <x v="6"/>
    <x v="0"/>
    <n v="218628"/>
    <x v="76"/>
    <x v="2"/>
    <x v="2"/>
    <x v="6"/>
  </r>
  <r>
    <x v="6"/>
    <x v="0"/>
    <n v="1733"/>
    <x v="37"/>
    <x v="1"/>
    <x v="1"/>
    <x v="6"/>
  </r>
  <r>
    <x v="6"/>
    <x v="0"/>
    <n v="302856"/>
    <x v="46"/>
    <x v="0"/>
    <x v="0"/>
    <x v="6"/>
  </r>
  <r>
    <x v="6"/>
    <x v="3"/>
    <n v="218987"/>
    <x v="8"/>
    <x v="1"/>
    <x v="1"/>
    <x v="6"/>
  </r>
  <r>
    <x v="6"/>
    <x v="0"/>
    <n v="168458"/>
    <x v="75"/>
    <x v="0"/>
    <x v="0"/>
    <x v="6"/>
  </r>
  <r>
    <x v="6"/>
    <x v="0"/>
    <n v="168458"/>
    <x v="75"/>
    <x v="2"/>
    <x v="2"/>
    <x v="6"/>
  </r>
  <r>
    <x v="6"/>
    <x v="0"/>
    <n v="117456"/>
    <x v="80"/>
    <x v="0"/>
    <x v="0"/>
    <x v="6"/>
  </r>
  <r>
    <x v="6"/>
    <x v="0"/>
    <n v="117456"/>
    <x v="80"/>
    <x v="2"/>
    <x v="2"/>
    <x v="6"/>
  </r>
  <r>
    <x v="6"/>
    <x v="0"/>
    <n v="161520"/>
    <x v="77"/>
    <x v="0"/>
    <x v="0"/>
    <x v="6"/>
  </r>
  <r>
    <x v="6"/>
    <x v="0"/>
    <n v="161520"/>
    <x v="77"/>
    <x v="2"/>
    <x v="2"/>
    <x v="6"/>
  </r>
  <r>
    <x v="6"/>
    <x v="0"/>
    <n v="205349"/>
    <x v="39"/>
    <x v="0"/>
    <x v="0"/>
    <x v="6"/>
  </r>
  <r>
    <x v="6"/>
    <x v="4"/>
    <n v="1733"/>
    <x v="37"/>
    <x v="2"/>
    <x v="2"/>
    <x v="6"/>
  </r>
  <r>
    <x v="6"/>
    <x v="0"/>
    <n v="210515"/>
    <x v="43"/>
    <x v="1"/>
    <x v="1"/>
    <x v="6"/>
  </r>
  <r>
    <x v="6"/>
    <x v="0"/>
    <n v="300169"/>
    <x v="5"/>
    <x v="0"/>
    <x v="0"/>
    <x v="6"/>
  </r>
  <r>
    <x v="6"/>
    <x v="0"/>
    <n v="205349"/>
    <x v="39"/>
    <x v="2"/>
    <x v="2"/>
    <x v="6"/>
  </r>
  <r>
    <x v="6"/>
    <x v="0"/>
    <n v="300169"/>
    <x v="5"/>
    <x v="2"/>
    <x v="2"/>
    <x v="6"/>
  </r>
  <r>
    <x v="6"/>
    <x v="0"/>
    <n v="316646"/>
    <x v="6"/>
    <x v="2"/>
    <x v="2"/>
    <x v="6"/>
  </r>
  <r>
    <x v="6"/>
    <x v="0"/>
    <n v="117230"/>
    <x v="73"/>
    <x v="0"/>
    <x v="0"/>
    <x v="6"/>
  </r>
  <r>
    <x v="6"/>
    <x v="0"/>
    <n v="117230"/>
    <x v="73"/>
    <x v="2"/>
    <x v="2"/>
    <x v="6"/>
  </r>
  <r>
    <x v="6"/>
    <x v="0"/>
    <n v="210557"/>
    <x v="47"/>
    <x v="0"/>
    <x v="0"/>
    <x v="6"/>
  </r>
  <r>
    <x v="6"/>
    <x v="0"/>
    <n v="210557"/>
    <x v="47"/>
    <x v="2"/>
    <x v="2"/>
    <x v="6"/>
  </r>
  <r>
    <x v="6"/>
    <x v="0"/>
    <n v="1733"/>
    <x v="37"/>
    <x v="0"/>
    <x v="0"/>
    <x v="6"/>
  </r>
  <r>
    <x v="6"/>
    <x v="5"/>
    <n v="303221"/>
    <x v="38"/>
    <x v="1"/>
    <x v="1"/>
    <x v="6"/>
  </r>
  <r>
    <x v="6"/>
    <x v="0"/>
    <n v="300169"/>
    <x v="5"/>
    <x v="1"/>
    <x v="1"/>
    <x v="6"/>
  </r>
  <r>
    <x v="6"/>
    <x v="0"/>
    <n v="169872"/>
    <x v="79"/>
    <x v="0"/>
    <x v="0"/>
    <x v="6"/>
  </r>
  <r>
    <x v="6"/>
    <x v="0"/>
    <n v="169872"/>
    <x v="79"/>
    <x v="2"/>
    <x v="2"/>
    <x v="6"/>
  </r>
  <r>
    <x v="6"/>
    <x v="0"/>
    <n v="208277"/>
    <x v="25"/>
    <x v="2"/>
    <x v="2"/>
    <x v="6"/>
  </r>
  <r>
    <x v="6"/>
    <x v="0"/>
    <n v="211622"/>
    <x v="82"/>
    <x v="2"/>
    <x v="2"/>
    <x v="6"/>
  </r>
  <r>
    <x v="6"/>
    <x v="0"/>
    <n v="211622"/>
    <x v="82"/>
    <x v="1"/>
    <x v="1"/>
    <x v="6"/>
  </r>
  <r>
    <x v="6"/>
    <x v="0"/>
    <n v="311895"/>
    <x v="34"/>
    <x v="0"/>
    <x v="0"/>
    <x v="6"/>
  </r>
  <r>
    <x v="6"/>
    <x v="0"/>
    <n v="311895"/>
    <x v="34"/>
    <x v="2"/>
    <x v="2"/>
    <x v="6"/>
  </r>
  <r>
    <x v="6"/>
    <x v="0"/>
    <n v="686"/>
    <x v="26"/>
    <x v="1"/>
    <x v="1"/>
    <x v="6"/>
  </r>
  <r>
    <x v="6"/>
    <x v="0"/>
    <n v="210001"/>
    <x v="36"/>
    <x v="0"/>
    <x v="0"/>
    <x v="6"/>
  </r>
  <r>
    <x v="6"/>
    <x v="0"/>
    <n v="300219"/>
    <x v="3"/>
    <x v="0"/>
    <x v="0"/>
    <x v="6"/>
  </r>
  <r>
    <x v="6"/>
    <x v="0"/>
    <n v="302856"/>
    <x v="46"/>
    <x v="2"/>
    <x v="2"/>
    <x v="6"/>
  </r>
  <r>
    <x v="6"/>
    <x v="0"/>
    <n v="302856"/>
    <x v="46"/>
    <x v="1"/>
    <x v="1"/>
    <x v="6"/>
  </r>
  <r>
    <x v="6"/>
    <x v="0"/>
    <n v="686"/>
    <x v="26"/>
    <x v="0"/>
    <x v="0"/>
    <x v="6"/>
  </r>
  <r>
    <x v="6"/>
    <x v="0"/>
    <n v="686"/>
    <x v="26"/>
    <x v="2"/>
    <x v="2"/>
    <x v="6"/>
  </r>
  <r>
    <x v="6"/>
    <x v="0"/>
    <n v="117819"/>
    <x v="83"/>
    <x v="0"/>
    <x v="0"/>
    <x v="6"/>
  </r>
  <r>
    <x v="6"/>
    <x v="0"/>
    <n v="117819"/>
    <x v="83"/>
    <x v="2"/>
    <x v="2"/>
    <x v="6"/>
  </r>
  <r>
    <x v="6"/>
    <x v="0"/>
    <n v="209208"/>
    <x v="30"/>
    <x v="0"/>
    <x v="0"/>
    <x v="6"/>
  </r>
  <r>
    <x v="6"/>
    <x v="3"/>
    <n v="507"/>
    <x v="9"/>
    <x v="1"/>
    <x v="1"/>
    <x v="6"/>
  </r>
  <r>
    <x v="6"/>
    <x v="3"/>
    <n v="302988"/>
    <x v="45"/>
    <x v="1"/>
    <x v="1"/>
    <x v="6"/>
  </r>
  <r>
    <x v="6"/>
    <x v="0"/>
    <n v="210515"/>
    <x v="43"/>
    <x v="0"/>
    <x v="0"/>
    <x v="6"/>
  </r>
  <r>
    <x v="6"/>
    <x v="0"/>
    <n v="209208"/>
    <x v="30"/>
    <x v="2"/>
    <x v="2"/>
    <x v="6"/>
  </r>
  <r>
    <x v="6"/>
    <x v="0"/>
    <n v="211470"/>
    <x v="53"/>
    <x v="0"/>
    <x v="0"/>
    <x v="6"/>
  </r>
  <r>
    <x v="6"/>
    <x v="0"/>
    <n v="211470"/>
    <x v="53"/>
    <x v="2"/>
    <x v="2"/>
    <x v="6"/>
  </r>
  <r>
    <x v="6"/>
    <x v="0"/>
    <n v="218616"/>
    <x v="86"/>
    <x v="0"/>
    <x v="0"/>
    <x v="6"/>
  </r>
  <r>
    <x v="6"/>
    <x v="3"/>
    <n v="507"/>
    <x v="9"/>
    <x v="2"/>
    <x v="2"/>
    <x v="6"/>
  </r>
  <r>
    <x v="6"/>
    <x v="3"/>
    <n v="210127"/>
    <x v="41"/>
    <x v="1"/>
    <x v="1"/>
    <x v="6"/>
  </r>
  <r>
    <x v="6"/>
    <x v="0"/>
    <n v="303189"/>
    <x v="42"/>
    <x v="1"/>
    <x v="1"/>
    <x v="6"/>
  </r>
  <r>
    <x v="6"/>
    <x v="0"/>
    <n v="218616"/>
    <x v="86"/>
    <x v="2"/>
    <x v="2"/>
    <x v="6"/>
  </r>
  <r>
    <x v="6"/>
    <x v="0"/>
    <n v="323608"/>
    <x v="31"/>
    <x v="2"/>
    <x v="2"/>
    <x v="6"/>
  </r>
  <r>
    <x v="6"/>
    <x v="0"/>
    <n v="312617"/>
    <x v="24"/>
    <x v="2"/>
    <x v="2"/>
    <x v="6"/>
  </r>
  <r>
    <x v="6"/>
    <x v="0"/>
    <n v="209211"/>
    <x v="33"/>
    <x v="0"/>
    <x v="0"/>
    <x v="6"/>
  </r>
  <r>
    <x v="6"/>
    <x v="0"/>
    <n v="209211"/>
    <x v="33"/>
    <x v="2"/>
    <x v="2"/>
    <x v="6"/>
  </r>
  <r>
    <x v="6"/>
    <x v="0"/>
    <n v="507"/>
    <x v="9"/>
    <x v="0"/>
    <x v="0"/>
    <x v="6"/>
  </r>
  <r>
    <x v="6"/>
    <x v="0"/>
    <n v="210001"/>
    <x v="36"/>
    <x v="1"/>
    <x v="1"/>
    <x v="6"/>
  </r>
  <r>
    <x v="6"/>
    <x v="3"/>
    <n v="303219"/>
    <x v="40"/>
    <x v="1"/>
    <x v="1"/>
    <x v="6"/>
  </r>
  <r>
    <x v="7"/>
    <x v="3"/>
    <n v="218628"/>
    <x v="76"/>
    <x v="1"/>
    <x v="1"/>
    <x v="7"/>
  </r>
  <r>
    <x v="7"/>
    <x v="0"/>
    <n v="218732"/>
    <x v="29"/>
    <x v="1"/>
    <x v="1"/>
    <x v="7"/>
  </r>
  <r>
    <x v="7"/>
    <x v="0"/>
    <n v="214951"/>
    <x v="78"/>
    <x v="2"/>
    <x v="2"/>
    <x v="7"/>
  </r>
  <r>
    <x v="7"/>
    <x v="0"/>
    <n v="214951"/>
    <x v="78"/>
    <x v="0"/>
    <x v="0"/>
    <x v="7"/>
  </r>
  <r>
    <x v="7"/>
    <x v="0"/>
    <n v="204952"/>
    <x v="56"/>
    <x v="2"/>
    <x v="2"/>
    <x v="7"/>
  </r>
  <r>
    <x v="7"/>
    <x v="0"/>
    <n v="204952"/>
    <x v="56"/>
    <x v="0"/>
    <x v="0"/>
    <x v="7"/>
  </r>
  <r>
    <x v="7"/>
    <x v="1"/>
    <n v="324108"/>
    <x v="35"/>
    <x v="1"/>
    <x v="1"/>
    <x v="7"/>
  </r>
  <r>
    <x v="7"/>
    <x v="0"/>
    <n v="218916"/>
    <x v="17"/>
    <x v="2"/>
    <x v="2"/>
    <x v="7"/>
  </r>
  <r>
    <x v="7"/>
    <x v="0"/>
    <n v="218916"/>
    <x v="17"/>
    <x v="0"/>
    <x v="0"/>
    <x v="7"/>
  </r>
  <r>
    <x v="7"/>
    <x v="0"/>
    <n v="217081"/>
    <x v="13"/>
    <x v="2"/>
    <x v="2"/>
    <x v="7"/>
  </r>
  <r>
    <x v="7"/>
    <x v="0"/>
    <n v="217081"/>
    <x v="13"/>
    <x v="0"/>
    <x v="0"/>
    <x v="7"/>
  </r>
  <r>
    <x v="7"/>
    <x v="0"/>
    <n v="209209"/>
    <x v="32"/>
    <x v="2"/>
    <x v="2"/>
    <x v="7"/>
  </r>
  <r>
    <x v="7"/>
    <x v="1"/>
    <n v="324108"/>
    <x v="35"/>
    <x v="2"/>
    <x v="2"/>
    <x v="7"/>
  </r>
  <r>
    <x v="7"/>
    <x v="0"/>
    <n v="209209"/>
    <x v="32"/>
    <x v="0"/>
    <x v="0"/>
    <x v="7"/>
  </r>
  <r>
    <x v="7"/>
    <x v="0"/>
    <n v="206236"/>
    <x v="22"/>
    <x v="2"/>
    <x v="2"/>
    <x v="7"/>
  </r>
  <r>
    <x v="7"/>
    <x v="0"/>
    <n v="206236"/>
    <x v="22"/>
    <x v="0"/>
    <x v="0"/>
    <x v="7"/>
  </r>
  <r>
    <x v="7"/>
    <x v="0"/>
    <n v="314137"/>
    <x v="19"/>
    <x v="1"/>
    <x v="1"/>
    <x v="7"/>
  </r>
  <r>
    <x v="7"/>
    <x v="0"/>
    <n v="314137"/>
    <x v="19"/>
    <x v="2"/>
    <x v="2"/>
    <x v="7"/>
  </r>
  <r>
    <x v="7"/>
    <x v="1"/>
    <n v="324108"/>
    <x v="35"/>
    <x v="0"/>
    <x v="0"/>
    <x v="7"/>
  </r>
  <r>
    <x v="7"/>
    <x v="0"/>
    <n v="323608"/>
    <x v="31"/>
    <x v="1"/>
    <x v="1"/>
    <x v="7"/>
  </r>
  <r>
    <x v="7"/>
    <x v="0"/>
    <n v="323608"/>
    <x v="31"/>
    <x v="0"/>
    <x v="0"/>
    <x v="7"/>
  </r>
  <r>
    <x v="7"/>
    <x v="0"/>
    <n v="149445"/>
    <x v="99"/>
    <x v="2"/>
    <x v="2"/>
    <x v="7"/>
  </r>
  <r>
    <x v="7"/>
    <x v="0"/>
    <n v="149445"/>
    <x v="99"/>
    <x v="0"/>
    <x v="0"/>
    <x v="7"/>
  </r>
  <r>
    <x v="7"/>
    <x v="0"/>
    <n v="216476"/>
    <x v="94"/>
    <x v="2"/>
    <x v="2"/>
    <x v="7"/>
  </r>
  <r>
    <x v="7"/>
    <x v="0"/>
    <n v="216476"/>
    <x v="94"/>
    <x v="0"/>
    <x v="0"/>
    <x v="7"/>
  </r>
  <r>
    <x v="7"/>
    <x v="0"/>
    <n v="204615"/>
    <x v="67"/>
    <x v="2"/>
    <x v="2"/>
    <x v="7"/>
  </r>
  <r>
    <x v="7"/>
    <x v="0"/>
    <n v="204615"/>
    <x v="67"/>
    <x v="0"/>
    <x v="0"/>
    <x v="7"/>
  </r>
  <r>
    <x v="7"/>
    <x v="0"/>
    <n v="321932"/>
    <x v="23"/>
    <x v="0"/>
    <x v="0"/>
    <x v="7"/>
  </r>
  <r>
    <x v="7"/>
    <x v="0"/>
    <n v="169537"/>
    <x v="81"/>
    <x v="2"/>
    <x v="2"/>
    <x v="7"/>
  </r>
  <r>
    <x v="7"/>
    <x v="0"/>
    <n v="169537"/>
    <x v="81"/>
    <x v="0"/>
    <x v="0"/>
    <x v="7"/>
  </r>
  <r>
    <x v="7"/>
    <x v="0"/>
    <n v="144649"/>
    <x v="102"/>
    <x v="2"/>
    <x v="2"/>
    <x v="7"/>
  </r>
  <r>
    <x v="7"/>
    <x v="0"/>
    <n v="144649"/>
    <x v="102"/>
    <x v="0"/>
    <x v="0"/>
    <x v="7"/>
  </r>
  <r>
    <x v="7"/>
    <x v="0"/>
    <n v="218644"/>
    <x v="63"/>
    <x v="2"/>
    <x v="2"/>
    <x v="7"/>
  </r>
  <r>
    <x v="7"/>
    <x v="0"/>
    <n v="317470"/>
    <x v="10"/>
    <x v="1"/>
    <x v="1"/>
    <x v="7"/>
  </r>
  <r>
    <x v="7"/>
    <x v="0"/>
    <n v="205985"/>
    <x v="27"/>
    <x v="2"/>
    <x v="2"/>
    <x v="7"/>
  </r>
  <r>
    <x v="7"/>
    <x v="0"/>
    <n v="302988"/>
    <x v="45"/>
    <x v="2"/>
    <x v="2"/>
    <x v="7"/>
  </r>
  <r>
    <x v="7"/>
    <x v="0"/>
    <n v="302988"/>
    <x v="45"/>
    <x v="0"/>
    <x v="0"/>
    <x v="7"/>
  </r>
  <r>
    <x v="7"/>
    <x v="0"/>
    <n v="301983"/>
    <x v="85"/>
    <x v="2"/>
    <x v="2"/>
    <x v="7"/>
  </r>
  <r>
    <x v="7"/>
    <x v="0"/>
    <n v="315199"/>
    <x v="15"/>
    <x v="2"/>
    <x v="2"/>
    <x v="7"/>
  </r>
  <r>
    <x v="7"/>
    <x v="0"/>
    <n v="317470"/>
    <x v="10"/>
    <x v="0"/>
    <x v="0"/>
    <x v="7"/>
  </r>
  <r>
    <x v="7"/>
    <x v="0"/>
    <n v="315199"/>
    <x v="15"/>
    <x v="0"/>
    <x v="0"/>
    <x v="7"/>
  </r>
  <r>
    <x v="7"/>
    <x v="0"/>
    <n v="218402"/>
    <x v="101"/>
    <x v="2"/>
    <x v="2"/>
    <x v="7"/>
  </r>
  <r>
    <x v="7"/>
    <x v="0"/>
    <n v="218402"/>
    <x v="101"/>
    <x v="0"/>
    <x v="0"/>
    <x v="7"/>
  </r>
  <r>
    <x v="7"/>
    <x v="0"/>
    <n v="218698"/>
    <x v="48"/>
    <x v="2"/>
    <x v="2"/>
    <x v="7"/>
  </r>
  <r>
    <x v="7"/>
    <x v="0"/>
    <n v="218698"/>
    <x v="48"/>
    <x v="0"/>
    <x v="0"/>
    <x v="7"/>
  </r>
  <r>
    <x v="7"/>
    <x v="1"/>
    <n v="316879"/>
    <x v="2"/>
    <x v="0"/>
    <x v="0"/>
    <x v="7"/>
  </r>
  <r>
    <x v="7"/>
    <x v="0"/>
    <n v="140302"/>
    <x v="100"/>
    <x v="2"/>
    <x v="2"/>
    <x v="7"/>
  </r>
  <r>
    <x v="7"/>
    <x v="0"/>
    <n v="140302"/>
    <x v="100"/>
    <x v="0"/>
    <x v="0"/>
    <x v="7"/>
  </r>
  <r>
    <x v="7"/>
    <x v="0"/>
    <n v="302335"/>
    <x v="70"/>
    <x v="2"/>
    <x v="2"/>
    <x v="7"/>
  </r>
  <r>
    <x v="7"/>
    <x v="0"/>
    <n v="301229"/>
    <x v="98"/>
    <x v="1"/>
    <x v="1"/>
    <x v="7"/>
  </r>
  <r>
    <x v="7"/>
    <x v="0"/>
    <n v="301229"/>
    <x v="98"/>
    <x v="2"/>
    <x v="2"/>
    <x v="7"/>
  </r>
  <r>
    <x v="7"/>
    <x v="0"/>
    <n v="316646"/>
    <x v="6"/>
    <x v="1"/>
    <x v="1"/>
    <x v="7"/>
  </r>
  <r>
    <x v="7"/>
    <x v="0"/>
    <n v="216566"/>
    <x v="96"/>
    <x v="2"/>
    <x v="2"/>
    <x v="7"/>
  </r>
  <r>
    <x v="7"/>
    <x v="0"/>
    <n v="216566"/>
    <x v="96"/>
    <x v="0"/>
    <x v="0"/>
    <x v="7"/>
  </r>
  <r>
    <x v="7"/>
    <x v="0"/>
    <n v="204939"/>
    <x v="61"/>
    <x v="2"/>
    <x v="2"/>
    <x v="7"/>
  </r>
  <r>
    <x v="7"/>
    <x v="0"/>
    <n v="204939"/>
    <x v="61"/>
    <x v="0"/>
    <x v="0"/>
    <x v="7"/>
  </r>
  <r>
    <x v="7"/>
    <x v="0"/>
    <n v="130744"/>
    <x v="97"/>
    <x v="2"/>
    <x v="2"/>
    <x v="7"/>
  </r>
  <r>
    <x v="7"/>
    <x v="0"/>
    <n v="316646"/>
    <x v="6"/>
    <x v="0"/>
    <x v="0"/>
    <x v="7"/>
  </r>
  <r>
    <x v="7"/>
    <x v="0"/>
    <n v="117501"/>
    <x v="84"/>
    <x v="2"/>
    <x v="2"/>
    <x v="7"/>
  </r>
  <r>
    <x v="7"/>
    <x v="0"/>
    <n v="117501"/>
    <x v="84"/>
    <x v="0"/>
    <x v="0"/>
    <x v="7"/>
  </r>
  <r>
    <x v="7"/>
    <x v="0"/>
    <n v="2737"/>
    <x v="62"/>
    <x v="2"/>
    <x v="2"/>
    <x v="7"/>
  </r>
  <r>
    <x v="7"/>
    <x v="0"/>
    <n v="317470"/>
    <x v="10"/>
    <x v="2"/>
    <x v="2"/>
    <x v="7"/>
  </r>
  <r>
    <x v="7"/>
    <x v="0"/>
    <n v="303219"/>
    <x v="40"/>
    <x v="2"/>
    <x v="2"/>
    <x v="7"/>
  </r>
  <r>
    <x v="7"/>
    <x v="0"/>
    <n v="303219"/>
    <x v="40"/>
    <x v="0"/>
    <x v="0"/>
    <x v="7"/>
  </r>
  <r>
    <x v="7"/>
    <x v="3"/>
    <n v="315199"/>
    <x v="15"/>
    <x v="1"/>
    <x v="1"/>
    <x v="7"/>
  </r>
  <r>
    <x v="7"/>
    <x v="0"/>
    <n v="303189"/>
    <x v="42"/>
    <x v="2"/>
    <x v="2"/>
    <x v="7"/>
  </r>
  <r>
    <x v="7"/>
    <x v="0"/>
    <n v="303189"/>
    <x v="42"/>
    <x v="0"/>
    <x v="0"/>
    <x v="7"/>
  </r>
  <r>
    <x v="7"/>
    <x v="0"/>
    <n v="301809"/>
    <x v="95"/>
    <x v="1"/>
    <x v="1"/>
    <x v="7"/>
  </r>
  <r>
    <x v="7"/>
    <x v="0"/>
    <n v="301809"/>
    <x v="95"/>
    <x v="2"/>
    <x v="2"/>
    <x v="7"/>
  </r>
  <r>
    <x v="7"/>
    <x v="0"/>
    <n v="144154"/>
    <x v="93"/>
    <x v="2"/>
    <x v="2"/>
    <x v="7"/>
  </r>
  <r>
    <x v="7"/>
    <x v="0"/>
    <n v="144154"/>
    <x v="93"/>
    <x v="0"/>
    <x v="0"/>
    <x v="7"/>
  </r>
  <r>
    <x v="7"/>
    <x v="0"/>
    <n v="314137"/>
    <x v="19"/>
    <x v="0"/>
    <x v="0"/>
    <x v="7"/>
  </r>
  <r>
    <x v="7"/>
    <x v="0"/>
    <n v="300363"/>
    <x v="11"/>
    <x v="1"/>
    <x v="1"/>
    <x v="7"/>
  </r>
  <r>
    <x v="7"/>
    <x v="0"/>
    <n v="300363"/>
    <x v="11"/>
    <x v="2"/>
    <x v="2"/>
    <x v="7"/>
  </r>
  <r>
    <x v="7"/>
    <x v="0"/>
    <n v="210001"/>
    <x v="36"/>
    <x v="2"/>
    <x v="2"/>
    <x v="7"/>
  </r>
  <r>
    <x v="7"/>
    <x v="0"/>
    <n v="312807"/>
    <x v="21"/>
    <x v="1"/>
    <x v="1"/>
    <x v="7"/>
  </r>
  <r>
    <x v="7"/>
    <x v="0"/>
    <n v="312807"/>
    <x v="21"/>
    <x v="2"/>
    <x v="2"/>
    <x v="7"/>
  </r>
  <r>
    <x v="7"/>
    <x v="0"/>
    <n v="312807"/>
    <x v="21"/>
    <x v="0"/>
    <x v="0"/>
    <x v="7"/>
  </r>
  <r>
    <x v="7"/>
    <x v="0"/>
    <n v="303221"/>
    <x v="38"/>
    <x v="2"/>
    <x v="2"/>
    <x v="7"/>
  </r>
  <r>
    <x v="7"/>
    <x v="0"/>
    <n v="303221"/>
    <x v="38"/>
    <x v="0"/>
    <x v="0"/>
    <x v="7"/>
  </r>
  <r>
    <x v="7"/>
    <x v="0"/>
    <n v="302769"/>
    <x v="49"/>
    <x v="2"/>
    <x v="2"/>
    <x v="7"/>
  </r>
  <r>
    <x v="7"/>
    <x v="0"/>
    <n v="302769"/>
    <x v="49"/>
    <x v="0"/>
    <x v="0"/>
    <x v="7"/>
  </r>
  <r>
    <x v="7"/>
    <x v="0"/>
    <n v="301920"/>
    <x v="91"/>
    <x v="2"/>
    <x v="2"/>
    <x v="7"/>
  </r>
  <r>
    <x v="7"/>
    <x v="0"/>
    <n v="301920"/>
    <x v="91"/>
    <x v="0"/>
    <x v="0"/>
    <x v="7"/>
  </r>
  <r>
    <x v="7"/>
    <x v="0"/>
    <n v="312617"/>
    <x v="24"/>
    <x v="1"/>
    <x v="1"/>
    <x v="7"/>
  </r>
  <r>
    <x v="7"/>
    <x v="0"/>
    <n v="118535"/>
    <x v="90"/>
    <x v="2"/>
    <x v="2"/>
    <x v="7"/>
  </r>
  <r>
    <x v="7"/>
    <x v="0"/>
    <n v="118535"/>
    <x v="90"/>
    <x v="0"/>
    <x v="0"/>
    <x v="7"/>
  </r>
  <r>
    <x v="7"/>
    <x v="0"/>
    <n v="316879"/>
    <x v="2"/>
    <x v="1"/>
    <x v="1"/>
    <x v="7"/>
  </r>
  <r>
    <x v="7"/>
    <x v="0"/>
    <n v="316879"/>
    <x v="2"/>
    <x v="2"/>
    <x v="2"/>
    <x v="7"/>
  </r>
  <r>
    <x v="7"/>
    <x v="0"/>
    <n v="301760"/>
    <x v="89"/>
    <x v="2"/>
    <x v="2"/>
    <x v="7"/>
  </r>
  <r>
    <x v="7"/>
    <x v="0"/>
    <n v="300711"/>
    <x v="74"/>
    <x v="2"/>
    <x v="2"/>
    <x v="7"/>
  </r>
  <r>
    <x v="7"/>
    <x v="0"/>
    <n v="312617"/>
    <x v="24"/>
    <x v="0"/>
    <x v="0"/>
    <x v="7"/>
  </r>
  <r>
    <x v="7"/>
    <x v="0"/>
    <n v="300711"/>
    <x v="74"/>
    <x v="0"/>
    <x v="0"/>
    <x v="7"/>
  </r>
  <r>
    <x v="7"/>
    <x v="0"/>
    <n v="120762"/>
    <x v="103"/>
    <x v="2"/>
    <x v="2"/>
    <x v="7"/>
  </r>
  <r>
    <x v="7"/>
    <x v="0"/>
    <n v="312617"/>
    <x v="24"/>
    <x v="2"/>
    <x v="2"/>
    <x v="7"/>
  </r>
  <r>
    <x v="7"/>
    <x v="0"/>
    <n v="209211"/>
    <x v="33"/>
    <x v="2"/>
    <x v="2"/>
    <x v="7"/>
  </r>
  <r>
    <x v="7"/>
    <x v="0"/>
    <n v="209211"/>
    <x v="33"/>
    <x v="0"/>
    <x v="0"/>
    <x v="7"/>
  </r>
  <r>
    <x v="7"/>
    <x v="0"/>
    <n v="312259"/>
    <x v="28"/>
    <x v="1"/>
    <x v="1"/>
    <x v="7"/>
  </r>
  <r>
    <x v="7"/>
    <x v="0"/>
    <n v="218616"/>
    <x v="86"/>
    <x v="2"/>
    <x v="2"/>
    <x v="7"/>
  </r>
  <r>
    <x v="7"/>
    <x v="0"/>
    <n v="218616"/>
    <x v="86"/>
    <x v="0"/>
    <x v="0"/>
    <x v="7"/>
  </r>
  <r>
    <x v="7"/>
    <x v="0"/>
    <n v="323608"/>
    <x v="31"/>
    <x v="2"/>
    <x v="2"/>
    <x v="7"/>
  </r>
  <r>
    <x v="7"/>
    <x v="0"/>
    <n v="686"/>
    <x v="26"/>
    <x v="2"/>
    <x v="2"/>
    <x v="7"/>
  </r>
  <r>
    <x v="7"/>
    <x v="0"/>
    <n v="686"/>
    <x v="26"/>
    <x v="0"/>
    <x v="0"/>
    <x v="7"/>
  </r>
  <r>
    <x v="7"/>
    <x v="0"/>
    <n v="312259"/>
    <x v="28"/>
    <x v="0"/>
    <x v="0"/>
    <x v="7"/>
  </r>
  <r>
    <x v="7"/>
    <x v="0"/>
    <n v="302856"/>
    <x v="46"/>
    <x v="1"/>
    <x v="1"/>
    <x v="7"/>
  </r>
  <r>
    <x v="7"/>
    <x v="0"/>
    <n v="302856"/>
    <x v="46"/>
    <x v="2"/>
    <x v="2"/>
    <x v="7"/>
  </r>
  <r>
    <x v="7"/>
    <x v="0"/>
    <n v="211470"/>
    <x v="53"/>
    <x v="2"/>
    <x v="2"/>
    <x v="7"/>
  </r>
  <r>
    <x v="7"/>
    <x v="0"/>
    <n v="211470"/>
    <x v="53"/>
    <x v="0"/>
    <x v="0"/>
    <x v="7"/>
  </r>
  <r>
    <x v="7"/>
    <x v="0"/>
    <n v="209208"/>
    <x v="30"/>
    <x v="2"/>
    <x v="2"/>
    <x v="7"/>
  </r>
  <r>
    <x v="7"/>
    <x v="0"/>
    <n v="209208"/>
    <x v="30"/>
    <x v="0"/>
    <x v="0"/>
    <x v="7"/>
  </r>
  <r>
    <x v="7"/>
    <x v="0"/>
    <n v="311895"/>
    <x v="34"/>
    <x v="1"/>
    <x v="1"/>
    <x v="7"/>
  </r>
  <r>
    <x v="7"/>
    <x v="0"/>
    <n v="117819"/>
    <x v="83"/>
    <x v="2"/>
    <x v="2"/>
    <x v="7"/>
  </r>
  <r>
    <x v="7"/>
    <x v="0"/>
    <n v="117819"/>
    <x v="83"/>
    <x v="0"/>
    <x v="0"/>
    <x v="7"/>
  </r>
  <r>
    <x v="7"/>
    <x v="0"/>
    <n v="169872"/>
    <x v="79"/>
    <x v="2"/>
    <x v="2"/>
    <x v="7"/>
  </r>
  <r>
    <x v="7"/>
    <x v="0"/>
    <n v="169872"/>
    <x v="79"/>
    <x v="0"/>
    <x v="0"/>
    <x v="7"/>
  </r>
  <r>
    <x v="7"/>
    <x v="0"/>
    <n v="311895"/>
    <x v="34"/>
    <x v="2"/>
    <x v="2"/>
    <x v="7"/>
  </r>
  <r>
    <x v="7"/>
    <x v="0"/>
    <n v="311895"/>
    <x v="34"/>
    <x v="0"/>
    <x v="0"/>
    <x v="7"/>
  </r>
  <r>
    <x v="7"/>
    <x v="5"/>
    <n v="303221"/>
    <x v="38"/>
    <x v="1"/>
    <x v="1"/>
    <x v="7"/>
  </r>
  <r>
    <x v="7"/>
    <x v="0"/>
    <n v="211622"/>
    <x v="82"/>
    <x v="1"/>
    <x v="1"/>
    <x v="7"/>
  </r>
  <r>
    <x v="7"/>
    <x v="0"/>
    <n v="211622"/>
    <x v="82"/>
    <x v="2"/>
    <x v="2"/>
    <x v="7"/>
  </r>
  <r>
    <x v="7"/>
    <x v="0"/>
    <n v="208277"/>
    <x v="25"/>
    <x v="2"/>
    <x v="2"/>
    <x v="7"/>
  </r>
  <r>
    <x v="7"/>
    <x v="0"/>
    <n v="117230"/>
    <x v="73"/>
    <x v="2"/>
    <x v="2"/>
    <x v="7"/>
  </r>
  <r>
    <x v="7"/>
    <x v="0"/>
    <n v="117230"/>
    <x v="73"/>
    <x v="0"/>
    <x v="0"/>
    <x v="7"/>
  </r>
  <r>
    <x v="7"/>
    <x v="0"/>
    <n v="316646"/>
    <x v="6"/>
    <x v="2"/>
    <x v="2"/>
    <x v="7"/>
  </r>
  <r>
    <x v="7"/>
    <x v="3"/>
    <n v="303219"/>
    <x v="40"/>
    <x v="1"/>
    <x v="1"/>
    <x v="7"/>
  </r>
  <r>
    <x v="7"/>
    <x v="0"/>
    <n v="300169"/>
    <x v="5"/>
    <x v="2"/>
    <x v="2"/>
    <x v="7"/>
  </r>
  <r>
    <x v="7"/>
    <x v="0"/>
    <n v="210557"/>
    <x v="47"/>
    <x v="2"/>
    <x v="2"/>
    <x v="7"/>
  </r>
  <r>
    <x v="7"/>
    <x v="0"/>
    <n v="210557"/>
    <x v="47"/>
    <x v="0"/>
    <x v="0"/>
    <x v="7"/>
  </r>
  <r>
    <x v="7"/>
    <x v="0"/>
    <n v="117456"/>
    <x v="80"/>
    <x v="2"/>
    <x v="2"/>
    <x v="7"/>
  </r>
  <r>
    <x v="7"/>
    <x v="0"/>
    <n v="117456"/>
    <x v="80"/>
    <x v="0"/>
    <x v="0"/>
    <x v="7"/>
  </r>
  <r>
    <x v="7"/>
    <x v="0"/>
    <n v="303189"/>
    <x v="42"/>
    <x v="1"/>
    <x v="1"/>
    <x v="7"/>
  </r>
  <r>
    <x v="7"/>
    <x v="0"/>
    <n v="205349"/>
    <x v="39"/>
    <x v="2"/>
    <x v="2"/>
    <x v="7"/>
  </r>
  <r>
    <x v="7"/>
    <x v="0"/>
    <n v="205349"/>
    <x v="39"/>
    <x v="0"/>
    <x v="0"/>
    <x v="7"/>
  </r>
  <r>
    <x v="7"/>
    <x v="0"/>
    <n v="161520"/>
    <x v="77"/>
    <x v="2"/>
    <x v="2"/>
    <x v="7"/>
  </r>
  <r>
    <x v="7"/>
    <x v="0"/>
    <n v="161520"/>
    <x v="77"/>
    <x v="0"/>
    <x v="0"/>
    <x v="7"/>
  </r>
  <r>
    <x v="7"/>
    <x v="0"/>
    <n v="218628"/>
    <x v="76"/>
    <x v="2"/>
    <x v="2"/>
    <x v="7"/>
  </r>
  <r>
    <x v="7"/>
    <x v="3"/>
    <n v="302988"/>
    <x v="45"/>
    <x v="1"/>
    <x v="1"/>
    <x v="7"/>
  </r>
  <r>
    <x v="7"/>
    <x v="0"/>
    <n v="168458"/>
    <x v="75"/>
    <x v="2"/>
    <x v="2"/>
    <x v="7"/>
  </r>
  <r>
    <x v="7"/>
    <x v="0"/>
    <n v="168458"/>
    <x v="75"/>
    <x v="0"/>
    <x v="0"/>
    <x v="7"/>
  </r>
  <r>
    <x v="7"/>
    <x v="0"/>
    <n v="131643"/>
    <x v="0"/>
    <x v="2"/>
    <x v="2"/>
    <x v="7"/>
  </r>
  <r>
    <x v="7"/>
    <x v="0"/>
    <n v="131643"/>
    <x v="0"/>
    <x v="0"/>
    <x v="0"/>
    <x v="7"/>
  </r>
  <r>
    <x v="7"/>
    <x v="0"/>
    <n v="218225"/>
    <x v="1"/>
    <x v="2"/>
    <x v="2"/>
    <x v="7"/>
  </r>
  <r>
    <x v="7"/>
    <x v="0"/>
    <n v="218225"/>
    <x v="1"/>
    <x v="0"/>
    <x v="0"/>
    <x v="7"/>
  </r>
  <r>
    <x v="7"/>
    <x v="0"/>
    <n v="302856"/>
    <x v="46"/>
    <x v="0"/>
    <x v="0"/>
    <x v="7"/>
  </r>
  <r>
    <x v="7"/>
    <x v="0"/>
    <n v="215020"/>
    <x v="72"/>
    <x v="2"/>
    <x v="2"/>
    <x v="7"/>
  </r>
  <r>
    <x v="7"/>
    <x v="0"/>
    <n v="206708"/>
    <x v="7"/>
    <x v="2"/>
    <x v="2"/>
    <x v="7"/>
  </r>
  <r>
    <x v="7"/>
    <x v="0"/>
    <n v="300571"/>
    <x v="18"/>
    <x v="2"/>
    <x v="2"/>
    <x v="7"/>
  </r>
  <r>
    <x v="7"/>
    <x v="0"/>
    <n v="207743"/>
    <x v="20"/>
    <x v="2"/>
    <x v="2"/>
    <x v="7"/>
  </r>
  <r>
    <x v="7"/>
    <x v="0"/>
    <n v="218210"/>
    <x v="69"/>
    <x v="1"/>
    <x v="1"/>
    <x v="7"/>
  </r>
  <r>
    <x v="7"/>
    <x v="4"/>
    <n v="302769"/>
    <x v="49"/>
    <x v="1"/>
    <x v="1"/>
    <x v="7"/>
  </r>
  <r>
    <x v="7"/>
    <x v="0"/>
    <n v="218210"/>
    <x v="69"/>
    <x v="2"/>
    <x v="2"/>
    <x v="7"/>
  </r>
  <r>
    <x v="7"/>
    <x v="0"/>
    <n v="117442"/>
    <x v="68"/>
    <x v="2"/>
    <x v="2"/>
    <x v="7"/>
  </r>
  <r>
    <x v="7"/>
    <x v="0"/>
    <n v="117442"/>
    <x v="68"/>
    <x v="0"/>
    <x v="0"/>
    <x v="7"/>
  </r>
  <r>
    <x v="7"/>
    <x v="0"/>
    <n v="302737"/>
    <x v="52"/>
    <x v="2"/>
    <x v="2"/>
    <x v="7"/>
  </r>
  <r>
    <x v="7"/>
    <x v="0"/>
    <n v="300862"/>
    <x v="66"/>
    <x v="2"/>
    <x v="2"/>
    <x v="7"/>
  </r>
  <r>
    <x v="7"/>
    <x v="3"/>
    <n v="302737"/>
    <x v="52"/>
    <x v="1"/>
    <x v="1"/>
    <x v="7"/>
  </r>
  <r>
    <x v="7"/>
    <x v="0"/>
    <n v="300862"/>
    <x v="66"/>
    <x v="0"/>
    <x v="0"/>
    <x v="7"/>
  </r>
  <r>
    <x v="7"/>
    <x v="0"/>
    <n v="206348"/>
    <x v="4"/>
    <x v="2"/>
    <x v="2"/>
    <x v="7"/>
  </r>
  <r>
    <x v="7"/>
    <x v="0"/>
    <n v="218623"/>
    <x v="65"/>
    <x v="1"/>
    <x v="1"/>
    <x v="7"/>
  </r>
  <r>
    <x v="7"/>
    <x v="0"/>
    <n v="218623"/>
    <x v="65"/>
    <x v="2"/>
    <x v="2"/>
    <x v="7"/>
  </r>
  <r>
    <x v="7"/>
    <x v="0"/>
    <n v="301805"/>
    <x v="64"/>
    <x v="1"/>
    <x v="1"/>
    <x v="7"/>
  </r>
  <r>
    <x v="7"/>
    <x v="0"/>
    <n v="302737"/>
    <x v="52"/>
    <x v="0"/>
    <x v="0"/>
    <x v="7"/>
  </r>
  <r>
    <x v="7"/>
    <x v="0"/>
    <n v="301805"/>
    <x v="64"/>
    <x v="2"/>
    <x v="2"/>
    <x v="7"/>
  </r>
  <r>
    <x v="7"/>
    <x v="0"/>
    <n v="211415"/>
    <x v="50"/>
    <x v="2"/>
    <x v="2"/>
    <x v="7"/>
  </r>
  <r>
    <x v="7"/>
    <x v="0"/>
    <n v="211415"/>
    <x v="50"/>
    <x v="0"/>
    <x v="0"/>
    <x v="7"/>
  </r>
  <r>
    <x v="7"/>
    <x v="0"/>
    <n v="158311"/>
    <x v="60"/>
    <x v="2"/>
    <x v="2"/>
    <x v="7"/>
  </r>
  <r>
    <x v="7"/>
    <x v="0"/>
    <n v="158311"/>
    <x v="60"/>
    <x v="0"/>
    <x v="0"/>
    <x v="7"/>
  </r>
  <r>
    <x v="7"/>
    <x v="0"/>
    <n v="300987"/>
    <x v="59"/>
    <x v="2"/>
    <x v="2"/>
    <x v="7"/>
  </r>
  <r>
    <x v="7"/>
    <x v="0"/>
    <n v="302335"/>
    <x v="70"/>
    <x v="1"/>
    <x v="1"/>
    <x v="7"/>
  </r>
  <r>
    <x v="7"/>
    <x v="0"/>
    <n v="300987"/>
    <x v="59"/>
    <x v="0"/>
    <x v="0"/>
    <x v="7"/>
  </r>
  <r>
    <x v="7"/>
    <x v="0"/>
    <n v="300219"/>
    <x v="3"/>
    <x v="2"/>
    <x v="2"/>
    <x v="7"/>
  </r>
  <r>
    <x v="7"/>
    <x v="0"/>
    <n v="213849"/>
    <x v="58"/>
    <x v="2"/>
    <x v="2"/>
    <x v="7"/>
  </r>
  <r>
    <x v="7"/>
    <x v="0"/>
    <n v="213849"/>
    <x v="58"/>
    <x v="0"/>
    <x v="0"/>
    <x v="7"/>
  </r>
  <r>
    <x v="7"/>
    <x v="0"/>
    <n v="206298"/>
    <x v="14"/>
    <x v="2"/>
    <x v="2"/>
    <x v="7"/>
  </r>
  <r>
    <x v="7"/>
    <x v="0"/>
    <n v="206298"/>
    <x v="14"/>
    <x v="0"/>
    <x v="0"/>
    <x v="7"/>
  </r>
  <r>
    <x v="7"/>
    <x v="3"/>
    <n v="302335"/>
    <x v="70"/>
    <x v="0"/>
    <x v="0"/>
    <x v="7"/>
  </r>
  <r>
    <x v="7"/>
    <x v="0"/>
    <n v="205228"/>
    <x v="44"/>
    <x v="2"/>
    <x v="2"/>
    <x v="7"/>
  </r>
  <r>
    <x v="7"/>
    <x v="0"/>
    <n v="205228"/>
    <x v="44"/>
    <x v="0"/>
    <x v="0"/>
    <x v="7"/>
  </r>
  <r>
    <x v="7"/>
    <x v="0"/>
    <n v="160030"/>
    <x v="55"/>
    <x v="2"/>
    <x v="2"/>
    <x v="7"/>
  </r>
  <r>
    <x v="7"/>
    <x v="0"/>
    <n v="160030"/>
    <x v="55"/>
    <x v="0"/>
    <x v="0"/>
    <x v="7"/>
  </r>
  <r>
    <x v="7"/>
    <x v="0"/>
    <n v="158751"/>
    <x v="54"/>
    <x v="2"/>
    <x v="2"/>
    <x v="7"/>
  </r>
  <r>
    <x v="7"/>
    <x v="0"/>
    <n v="301983"/>
    <x v="85"/>
    <x v="1"/>
    <x v="1"/>
    <x v="7"/>
  </r>
  <r>
    <x v="7"/>
    <x v="0"/>
    <n v="158751"/>
    <x v="54"/>
    <x v="0"/>
    <x v="0"/>
    <x v="7"/>
  </r>
  <r>
    <x v="7"/>
    <x v="0"/>
    <n v="217678"/>
    <x v="104"/>
    <x v="2"/>
    <x v="2"/>
    <x v="7"/>
  </r>
  <r>
    <x v="7"/>
    <x v="0"/>
    <n v="217678"/>
    <x v="104"/>
    <x v="0"/>
    <x v="0"/>
    <x v="7"/>
  </r>
  <r>
    <x v="7"/>
    <x v="0"/>
    <n v="210515"/>
    <x v="43"/>
    <x v="2"/>
    <x v="2"/>
    <x v="7"/>
  </r>
  <r>
    <x v="7"/>
    <x v="0"/>
    <n v="207404"/>
    <x v="16"/>
    <x v="2"/>
    <x v="2"/>
    <x v="7"/>
  </r>
  <r>
    <x v="7"/>
    <x v="0"/>
    <n v="301983"/>
    <x v="85"/>
    <x v="0"/>
    <x v="0"/>
    <x v="7"/>
  </r>
  <r>
    <x v="7"/>
    <x v="0"/>
    <n v="207404"/>
    <x v="16"/>
    <x v="0"/>
    <x v="0"/>
    <x v="7"/>
  </r>
  <r>
    <x v="7"/>
    <x v="0"/>
    <n v="203631"/>
    <x v="71"/>
    <x v="2"/>
    <x v="2"/>
    <x v="7"/>
  </r>
  <r>
    <x v="7"/>
    <x v="0"/>
    <n v="203631"/>
    <x v="71"/>
    <x v="0"/>
    <x v="0"/>
    <x v="7"/>
  </r>
  <r>
    <x v="7"/>
    <x v="0"/>
    <n v="218732"/>
    <x v="29"/>
    <x v="2"/>
    <x v="2"/>
    <x v="7"/>
  </r>
  <r>
    <x v="7"/>
    <x v="0"/>
    <n v="218732"/>
    <x v="29"/>
    <x v="0"/>
    <x v="0"/>
    <x v="7"/>
  </r>
  <r>
    <x v="7"/>
    <x v="0"/>
    <n v="321932"/>
    <x v="23"/>
    <x v="1"/>
    <x v="1"/>
    <x v="7"/>
  </r>
  <r>
    <x v="7"/>
    <x v="0"/>
    <n v="301920"/>
    <x v="91"/>
    <x v="1"/>
    <x v="1"/>
    <x v="7"/>
  </r>
  <r>
    <x v="7"/>
    <x v="0"/>
    <n v="321932"/>
    <x v="23"/>
    <x v="2"/>
    <x v="2"/>
    <x v="7"/>
  </r>
  <r>
    <x v="7"/>
    <x v="0"/>
    <n v="117866"/>
    <x v="87"/>
    <x v="2"/>
    <x v="2"/>
    <x v="7"/>
  </r>
  <r>
    <x v="7"/>
    <x v="0"/>
    <n v="117866"/>
    <x v="87"/>
    <x v="0"/>
    <x v="0"/>
    <x v="7"/>
  </r>
  <r>
    <x v="7"/>
    <x v="0"/>
    <n v="206968"/>
    <x v="12"/>
    <x v="1"/>
    <x v="1"/>
    <x v="7"/>
  </r>
  <r>
    <x v="7"/>
    <x v="0"/>
    <n v="206968"/>
    <x v="12"/>
    <x v="2"/>
    <x v="2"/>
    <x v="7"/>
  </r>
  <r>
    <x v="7"/>
    <x v="0"/>
    <n v="301809"/>
    <x v="95"/>
    <x v="0"/>
    <x v="0"/>
    <x v="7"/>
  </r>
  <r>
    <x v="7"/>
    <x v="0"/>
    <n v="161003"/>
    <x v="88"/>
    <x v="2"/>
    <x v="2"/>
    <x v="7"/>
  </r>
  <r>
    <x v="7"/>
    <x v="0"/>
    <n v="161003"/>
    <x v="88"/>
    <x v="0"/>
    <x v="0"/>
    <x v="7"/>
  </r>
  <r>
    <x v="7"/>
    <x v="0"/>
    <n v="205104"/>
    <x v="51"/>
    <x v="2"/>
    <x v="2"/>
    <x v="7"/>
  </r>
  <r>
    <x v="7"/>
    <x v="0"/>
    <n v="205104"/>
    <x v="51"/>
    <x v="0"/>
    <x v="0"/>
    <x v="7"/>
  </r>
  <r>
    <x v="7"/>
    <x v="0"/>
    <n v="312259"/>
    <x v="28"/>
    <x v="2"/>
    <x v="2"/>
    <x v="7"/>
  </r>
  <r>
    <x v="7"/>
    <x v="0"/>
    <n v="218674"/>
    <x v="57"/>
    <x v="2"/>
    <x v="2"/>
    <x v="7"/>
  </r>
  <r>
    <x v="7"/>
    <x v="0"/>
    <n v="301805"/>
    <x v="64"/>
    <x v="0"/>
    <x v="0"/>
    <x v="7"/>
  </r>
  <r>
    <x v="7"/>
    <x v="0"/>
    <n v="218674"/>
    <x v="57"/>
    <x v="0"/>
    <x v="0"/>
    <x v="7"/>
  </r>
  <r>
    <x v="7"/>
    <x v="0"/>
    <n v="210127"/>
    <x v="41"/>
    <x v="2"/>
    <x v="2"/>
    <x v="7"/>
  </r>
  <r>
    <x v="7"/>
    <x v="0"/>
    <n v="210127"/>
    <x v="41"/>
    <x v="0"/>
    <x v="0"/>
    <x v="7"/>
  </r>
  <r>
    <x v="7"/>
    <x v="0"/>
    <n v="507"/>
    <x v="9"/>
    <x v="0"/>
    <x v="0"/>
    <x v="7"/>
  </r>
  <r>
    <x v="7"/>
    <x v="3"/>
    <n v="507"/>
    <x v="9"/>
    <x v="2"/>
    <x v="2"/>
    <x v="7"/>
  </r>
  <r>
    <x v="7"/>
    <x v="3"/>
    <n v="507"/>
    <x v="9"/>
    <x v="1"/>
    <x v="1"/>
    <x v="7"/>
  </r>
  <r>
    <x v="7"/>
    <x v="0"/>
    <n v="301760"/>
    <x v="89"/>
    <x v="1"/>
    <x v="1"/>
    <x v="7"/>
  </r>
  <r>
    <x v="7"/>
    <x v="0"/>
    <n v="686"/>
    <x v="26"/>
    <x v="1"/>
    <x v="1"/>
    <x v="7"/>
  </r>
  <r>
    <x v="7"/>
    <x v="0"/>
    <n v="1733"/>
    <x v="37"/>
    <x v="0"/>
    <x v="0"/>
    <x v="7"/>
  </r>
  <r>
    <x v="7"/>
    <x v="4"/>
    <n v="1733"/>
    <x v="37"/>
    <x v="2"/>
    <x v="2"/>
    <x v="7"/>
  </r>
  <r>
    <x v="7"/>
    <x v="0"/>
    <n v="1733"/>
    <x v="37"/>
    <x v="1"/>
    <x v="1"/>
    <x v="7"/>
  </r>
  <r>
    <x v="7"/>
    <x v="0"/>
    <n v="2737"/>
    <x v="62"/>
    <x v="0"/>
    <x v="0"/>
    <x v="7"/>
  </r>
  <r>
    <x v="7"/>
    <x v="0"/>
    <n v="2737"/>
    <x v="62"/>
    <x v="1"/>
    <x v="1"/>
    <x v="7"/>
  </r>
  <r>
    <x v="7"/>
    <x v="0"/>
    <n v="301760"/>
    <x v="89"/>
    <x v="0"/>
    <x v="0"/>
    <x v="7"/>
  </r>
  <r>
    <x v="7"/>
    <x v="0"/>
    <n v="117230"/>
    <x v="73"/>
    <x v="1"/>
    <x v="1"/>
    <x v="7"/>
  </r>
  <r>
    <x v="7"/>
    <x v="0"/>
    <n v="117442"/>
    <x v="68"/>
    <x v="1"/>
    <x v="1"/>
    <x v="7"/>
  </r>
  <r>
    <x v="7"/>
    <x v="0"/>
    <n v="117456"/>
    <x v="80"/>
    <x v="1"/>
    <x v="1"/>
    <x v="7"/>
  </r>
  <r>
    <x v="7"/>
    <x v="0"/>
    <n v="117501"/>
    <x v="84"/>
    <x v="1"/>
    <x v="1"/>
    <x v="7"/>
  </r>
  <r>
    <x v="7"/>
    <x v="3"/>
    <n v="117819"/>
    <x v="83"/>
    <x v="1"/>
    <x v="1"/>
    <x v="7"/>
  </r>
  <r>
    <x v="7"/>
    <x v="0"/>
    <n v="301229"/>
    <x v="98"/>
    <x v="0"/>
    <x v="0"/>
    <x v="7"/>
  </r>
  <r>
    <x v="7"/>
    <x v="3"/>
    <n v="117866"/>
    <x v="87"/>
    <x v="1"/>
    <x v="1"/>
    <x v="7"/>
  </r>
  <r>
    <x v="7"/>
    <x v="0"/>
    <n v="117986"/>
    <x v="92"/>
    <x v="0"/>
    <x v="0"/>
    <x v="7"/>
  </r>
  <r>
    <x v="7"/>
    <x v="5"/>
    <n v="117986"/>
    <x v="92"/>
    <x v="2"/>
    <x v="2"/>
    <x v="7"/>
  </r>
  <r>
    <x v="7"/>
    <x v="0"/>
    <n v="117986"/>
    <x v="92"/>
    <x v="1"/>
    <x v="1"/>
    <x v="7"/>
  </r>
  <r>
    <x v="7"/>
    <x v="0"/>
    <n v="118535"/>
    <x v="90"/>
    <x v="1"/>
    <x v="1"/>
    <x v="7"/>
  </r>
  <r>
    <x v="7"/>
    <x v="0"/>
    <n v="120762"/>
    <x v="103"/>
    <x v="0"/>
    <x v="0"/>
    <x v="7"/>
  </r>
  <r>
    <x v="7"/>
    <x v="3"/>
    <n v="300987"/>
    <x v="59"/>
    <x v="1"/>
    <x v="1"/>
    <x v="7"/>
  </r>
  <r>
    <x v="7"/>
    <x v="0"/>
    <n v="120762"/>
    <x v="103"/>
    <x v="1"/>
    <x v="1"/>
    <x v="7"/>
  </r>
  <r>
    <x v="7"/>
    <x v="0"/>
    <n v="130744"/>
    <x v="97"/>
    <x v="0"/>
    <x v="0"/>
    <x v="7"/>
  </r>
  <r>
    <x v="7"/>
    <x v="0"/>
    <n v="130744"/>
    <x v="97"/>
    <x v="1"/>
    <x v="1"/>
    <x v="7"/>
  </r>
  <r>
    <x v="7"/>
    <x v="4"/>
    <n v="131643"/>
    <x v="0"/>
    <x v="1"/>
    <x v="1"/>
    <x v="7"/>
  </r>
  <r>
    <x v="7"/>
    <x v="0"/>
    <n v="140302"/>
    <x v="100"/>
    <x v="1"/>
    <x v="1"/>
    <x v="7"/>
  </r>
  <r>
    <x v="7"/>
    <x v="4"/>
    <n v="300862"/>
    <x v="66"/>
    <x v="1"/>
    <x v="1"/>
    <x v="7"/>
  </r>
  <r>
    <x v="7"/>
    <x v="0"/>
    <n v="144154"/>
    <x v="93"/>
    <x v="1"/>
    <x v="1"/>
    <x v="7"/>
  </r>
  <r>
    <x v="7"/>
    <x v="0"/>
    <n v="144649"/>
    <x v="102"/>
    <x v="1"/>
    <x v="1"/>
    <x v="7"/>
  </r>
  <r>
    <x v="7"/>
    <x v="3"/>
    <n v="149445"/>
    <x v="99"/>
    <x v="1"/>
    <x v="1"/>
    <x v="7"/>
  </r>
  <r>
    <x v="7"/>
    <x v="0"/>
    <n v="158311"/>
    <x v="60"/>
    <x v="1"/>
    <x v="1"/>
    <x v="7"/>
  </r>
  <r>
    <x v="7"/>
    <x v="0"/>
    <n v="158751"/>
    <x v="54"/>
    <x v="1"/>
    <x v="1"/>
    <x v="7"/>
  </r>
  <r>
    <x v="7"/>
    <x v="0"/>
    <n v="300711"/>
    <x v="74"/>
    <x v="1"/>
    <x v="1"/>
    <x v="7"/>
  </r>
  <r>
    <x v="7"/>
    <x v="3"/>
    <n v="160030"/>
    <x v="55"/>
    <x v="1"/>
    <x v="1"/>
    <x v="7"/>
  </r>
  <r>
    <x v="7"/>
    <x v="4"/>
    <n v="161003"/>
    <x v="88"/>
    <x v="1"/>
    <x v="1"/>
    <x v="7"/>
  </r>
  <r>
    <x v="7"/>
    <x v="3"/>
    <n v="161520"/>
    <x v="77"/>
    <x v="1"/>
    <x v="1"/>
    <x v="7"/>
  </r>
  <r>
    <x v="7"/>
    <x v="4"/>
    <n v="168458"/>
    <x v="75"/>
    <x v="1"/>
    <x v="1"/>
    <x v="7"/>
  </r>
  <r>
    <x v="7"/>
    <x v="0"/>
    <n v="169537"/>
    <x v="81"/>
    <x v="1"/>
    <x v="1"/>
    <x v="7"/>
  </r>
  <r>
    <x v="7"/>
    <x v="0"/>
    <n v="300571"/>
    <x v="18"/>
    <x v="1"/>
    <x v="1"/>
    <x v="7"/>
  </r>
  <r>
    <x v="7"/>
    <x v="0"/>
    <n v="169872"/>
    <x v="79"/>
    <x v="1"/>
    <x v="1"/>
    <x v="7"/>
  </r>
  <r>
    <x v="7"/>
    <x v="0"/>
    <n v="203631"/>
    <x v="71"/>
    <x v="1"/>
    <x v="1"/>
    <x v="7"/>
  </r>
  <r>
    <x v="7"/>
    <x v="4"/>
    <n v="204615"/>
    <x v="67"/>
    <x v="1"/>
    <x v="1"/>
    <x v="7"/>
  </r>
  <r>
    <x v="7"/>
    <x v="0"/>
    <n v="204939"/>
    <x v="61"/>
    <x v="1"/>
    <x v="1"/>
    <x v="7"/>
  </r>
  <r>
    <x v="7"/>
    <x v="0"/>
    <n v="204952"/>
    <x v="56"/>
    <x v="1"/>
    <x v="1"/>
    <x v="7"/>
  </r>
  <r>
    <x v="7"/>
    <x v="0"/>
    <n v="300571"/>
    <x v="18"/>
    <x v="0"/>
    <x v="0"/>
    <x v="7"/>
  </r>
  <r>
    <x v="7"/>
    <x v="3"/>
    <n v="205104"/>
    <x v="51"/>
    <x v="1"/>
    <x v="1"/>
    <x v="7"/>
  </r>
  <r>
    <x v="7"/>
    <x v="0"/>
    <n v="205228"/>
    <x v="44"/>
    <x v="1"/>
    <x v="1"/>
    <x v="7"/>
  </r>
  <r>
    <x v="7"/>
    <x v="4"/>
    <n v="300363"/>
    <x v="11"/>
    <x v="0"/>
    <x v="0"/>
    <x v="7"/>
  </r>
  <r>
    <x v="7"/>
    <x v="4"/>
    <n v="205349"/>
    <x v="39"/>
    <x v="1"/>
    <x v="1"/>
    <x v="7"/>
  </r>
  <r>
    <x v="7"/>
    <x v="3"/>
    <n v="205985"/>
    <x v="27"/>
    <x v="0"/>
    <x v="0"/>
    <x v="7"/>
  </r>
  <r>
    <x v="7"/>
    <x v="0"/>
    <n v="205985"/>
    <x v="27"/>
    <x v="1"/>
    <x v="1"/>
    <x v="7"/>
  </r>
  <r>
    <x v="7"/>
    <x v="3"/>
    <n v="206236"/>
    <x v="22"/>
    <x v="1"/>
    <x v="1"/>
    <x v="7"/>
  </r>
  <r>
    <x v="7"/>
    <x v="0"/>
    <n v="206298"/>
    <x v="14"/>
    <x v="1"/>
    <x v="1"/>
    <x v="7"/>
  </r>
  <r>
    <x v="7"/>
    <x v="0"/>
    <n v="300219"/>
    <x v="3"/>
    <x v="1"/>
    <x v="1"/>
    <x v="7"/>
  </r>
  <r>
    <x v="7"/>
    <x v="0"/>
    <n v="206348"/>
    <x v="4"/>
    <x v="0"/>
    <x v="0"/>
    <x v="7"/>
  </r>
  <r>
    <x v="7"/>
    <x v="0"/>
    <n v="206348"/>
    <x v="4"/>
    <x v="1"/>
    <x v="1"/>
    <x v="7"/>
  </r>
  <r>
    <x v="7"/>
    <x v="0"/>
    <n v="206708"/>
    <x v="7"/>
    <x v="0"/>
    <x v="0"/>
    <x v="7"/>
  </r>
  <r>
    <x v="7"/>
    <x v="0"/>
    <n v="206708"/>
    <x v="7"/>
    <x v="1"/>
    <x v="1"/>
    <x v="7"/>
  </r>
  <r>
    <x v="7"/>
    <x v="0"/>
    <n v="300219"/>
    <x v="3"/>
    <x v="0"/>
    <x v="0"/>
    <x v="7"/>
  </r>
  <r>
    <x v="7"/>
    <x v="0"/>
    <n v="206968"/>
    <x v="12"/>
    <x v="0"/>
    <x v="0"/>
    <x v="7"/>
  </r>
  <r>
    <x v="7"/>
    <x v="3"/>
    <n v="207404"/>
    <x v="16"/>
    <x v="1"/>
    <x v="1"/>
    <x v="7"/>
  </r>
  <r>
    <x v="7"/>
    <x v="0"/>
    <n v="207743"/>
    <x v="20"/>
    <x v="0"/>
    <x v="0"/>
    <x v="7"/>
  </r>
  <r>
    <x v="7"/>
    <x v="3"/>
    <n v="207743"/>
    <x v="20"/>
    <x v="1"/>
    <x v="1"/>
    <x v="7"/>
  </r>
  <r>
    <x v="7"/>
    <x v="0"/>
    <n v="208277"/>
    <x v="25"/>
    <x v="0"/>
    <x v="0"/>
    <x v="7"/>
  </r>
  <r>
    <x v="7"/>
    <x v="0"/>
    <n v="300169"/>
    <x v="5"/>
    <x v="1"/>
    <x v="1"/>
    <x v="7"/>
  </r>
  <r>
    <x v="7"/>
    <x v="0"/>
    <n v="208277"/>
    <x v="25"/>
    <x v="1"/>
    <x v="1"/>
    <x v="7"/>
  </r>
  <r>
    <x v="7"/>
    <x v="0"/>
    <n v="209208"/>
    <x v="30"/>
    <x v="1"/>
    <x v="1"/>
    <x v="7"/>
  </r>
  <r>
    <x v="7"/>
    <x v="3"/>
    <n v="209209"/>
    <x v="32"/>
    <x v="1"/>
    <x v="1"/>
    <x v="7"/>
  </r>
  <r>
    <x v="7"/>
    <x v="0"/>
    <n v="209211"/>
    <x v="33"/>
    <x v="1"/>
    <x v="1"/>
    <x v="7"/>
  </r>
  <r>
    <x v="7"/>
    <x v="0"/>
    <n v="210001"/>
    <x v="36"/>
    <x v="0"/>
    <x v="0"/>
    <x v="7"/>
  </r>
  <r>
    <x v="7"/>
    <x v="0"/>
    <n v="300169"/>
    <x v="5"/>
    <x v="0"/>
    <x v="0"/>
    <x v="7"/>
  </r>
  <r>
    <x v="7"/>
    <x v="0"/>
    <n v="210001"/>
    <x v="36"/>
    <x v="1"/>
    <x v="1"/>
    <x v="7"/>
  </r>
  <r>
    <x v="7"/>
    <x v="3"/>
    <n v="210127"/>
    <x v="41"/>
    <x v="1"/>
    <x v="1"/>
    <x v="7"/>
  </r>
  <r>
    <x v="7"/>
    <x v="0"/>
    <n v="210515"/>
    <x v="43"/>
    <x v="0"/>
    <x v="0"/>
    <x v="7"/>
  </r>
  <r>
    <x v="7"/>
    <x v="0"/>
    <n v="210515"/>
    <x v="43"/>
    <x v="1"/>
    <x v="1"/>
    <x v="7"/>
  </r>
  <r>
    <x v="7"/>
    <x v="2"/>
    <n v="210557"/>
    <x v="47"/>
    <x v="1"/>
    <x v="1"/>
    <x v="7"/>
  </r>
  <r>
    <x v="7"/>
    <x v="0"/>
    <n v="211415"/>
    <x v="50"/>
    <x v="1"/>
    <x v="1"/>
    <x v="7"/>
  </r>
  <r>
    <x v="7"/>
    <x v="3"/>
    <n v="218987"/>
    <x v="8"/>
    <x v="1"/>
    <x v="1"/>
    <x v="7"/>
  </r>
  <r>
    <x v="7"/>
    <x v="4"/>
    <n v="211470"/>
    <x v="53"/>
    <x v="1"/>
    <x v="1"/>
    <x v="7"/>
  </r>
  <r>
    <x v="7"/>
    <x v="0"/>
    <n v="211622"/>
    <x v="82"/>
    <x v="0"/>
    <x v="0"/>
    <x v="7"/>
  </r>
  <r>
    <x v="7"/>
    <x v="4"/>
    <n v="213849"/>
    <x v="58"/>
    <x v="1"/>
    <x v="1"/>
    <x v="7"/>
  </r>
  <r>
    <x v="7"/>
    <x v="3"/>
    <n v="214951"/>
    <x v="78"/>
    <x v="1"/>
    <x v="1"/>
    <x v="7"/>
  </r>
  <r>
    <x v="7"/>
    <x v="3"/>
    <n v="215020"/>
    <x v="72"/>
    <x v="0"/>
    <x v="0"/>
    <x v="7"/>
  </r>
  <r>
    <x v="7"/>
    <x v="0"/>
    <n v="215020"/>
    <x v="72"/>
    <x v="1"/>
    <x v="1"/>
    <x v="7"/>
  </r>
  <r>
    <x v="7"/>
    <x v="1"/>
    <n v="218987"/>
    <x v="8"/>
    <x v="2"/>
    <x v="2"/>
    <x v="7"/>
  </r>
  <r>
    <x v="7"/>
    <x v="0"/>
    <n v="216476"/>
    <x v="94"/>
    <x v="1"/>
    <x v="1"/>
    <x v="7"/>
  </r>
  <r>
    <x v="7"/>
    <x v="0"/>
    <n v="216566"/>
    <x v="96"/>
    <x v="1"/>
    <x v="1"/>
    <x v="7"/>
  </r>
  <r>
    <x v="7"/>
    <x v="0"/>
    <n v="217081"/>
    <x v="13"/>
    <x v="1"/>
    <x v="1"/>
    <x v="7"/>
  </r>
  <r>
    <x v="7"/>
    <x v="0"/>
    <n v="217678"/>
    <x v="104"/>
    <x v="1"/>
    <x v="1"/>
    <x v="7"/>
  </r>
  <r>
    <x v="7"/>
    <x v="0"/>
    <n v="218210"/>
    <x v="69"/>
    <x v="0"/>
    <x v="0"/>
    <x v="7"/>
  </r>
  <r>
    <x v="7"/>
    <x v="3"/>
    <n v="218225"/>
    <x v="1"/>
    <x v="1"/>
    <x v="1"/>
    <x v="7"/>
  </r>
  <r>
    <x v="7"/>
    <x v="3"/>
    <n v="218987"/>
    <x v="8"/>
    <x v="0"/>
    <x v="0"/>
    <x v="7"/>
  </r>
  <r>
    <x v="7"/>
    <x v="0"/>
    <n v="218402"/>
    <x v="101"/>
    <x v="1"/>
    <x v="1"/>
    <x v="7"/>
  </r>
  <r>
    <x v="7"/>
    <x v="0"/>
    <n v="218616"/>
    <x v="86"/>
    <x v="1"/>
    <x v="1"/>
    <x v="7"/>
  </r>
  <r>
    <x v="7"/>
    <x v="0"/>
    <n v="218623"/>
    <x v="65"/>
    <x v="0"/>
    <x v="0"/>
    <x v="7"/>
  </r>
  <r>
    <x v="7"/>
    <x v="3"/>
    <n v="218628"/>
    <x v="76"/>
    <x v="0"/>
    <x v="0"/>
    <x v="7"/>
  </r>
  <r>
    <x v="7"/>
    <x v="3"/>
    <n v="218644"/>
    <x v="63"/>
    <x v="0"/>
    <x v="0"/>
    <x v="7"/>
  </r>
  <r>
    <x v="7"/>
    <x v="1"/>
    <n v="218644"/>
    <x v="63"/>
    <x v="1"/>
    <x v="1"/>
    <x v="7"/>
  </r>
  <r>
    <x v="7"/>
    <x v="0"/>
    <n v="218916"/>
    <x v="17"/>
    <x v="1"/>
    <x v="1"/>
    <x v="7"/>
  </r>
  <r>
    <x v="7"/>
    <x v="5"/>
    <n v="218674"/>
    <x v="57"/>
    <x v="1"/>
    <x v="1"/>
    <x v="7"/>
  </r>
  <r>
    <x v="7"/>
    <x v="0"/>
    <n v="218698"/>
    <x v="48"/>
    <x v="1"/>
    <x v="1"/>
    <x v="7"/>
  </r>
  <r>
    <x v="8"/>
    <x v="0"/>
    <n v="158311"/>
    <x v="60"/>
    <x v="2"/>
    <x v="2"/>
    <x v="8"/>
  </r>
  <r>
    <x v="8"/>
    <x v="0"/>
    <n v="158311"/>
    <x v="60"/>
    <x v="0"/>
    <x v="0"/>
    <x v="8"/>
  </r>
  <r>
    <x v="8"/>
    <x v="0"/>
    <n v="218732"/>
    <x v="29"/>
    <x v="1"/>
    <x v="1"/>
    <x v="8"/>
  </r>
  <r>
    <x v="8"/>
    <x v="0"/>
    <n v="312259"/>
    <x v="28"/>
    <x v="0"/>
    <x v="0"/>
    <x v="8"/>
  </r>
  <r>
    <x v="8"/>
    <x v="3"/>
    <n v="303221"/>
    <x v="38"/>
    <x v="1"/>
    <x v="1"/>
    <x v="8"/>
  </r>
  <r>
    <x v="8"/>
    <x v="0"/>
    <n v="312259"/>
    <x v="28"/>
    <x v="1"/>
    <x v="1"/>
    <x v="8"/>
  </r>
  <r>
    <x v="8"/>
    <x v="0"/>
    <n v="312617"/>
    <x v="24"/>
    <x v="0"/>
    <x v="0"/>
    <x v="8"/>
  </r>
  <r>
    <x v="8"/>
    <x v="3"/>
    <n v="303219"/>
    <x v="40"/>
    <x v="1"/>
    <x v="1"/>
    <x v="8"/>
  </r>
  <r>
    <x v="8"/>
    <x v="0"/>
    <n v="218698"/>
    <x v="48"/>
    <x v="1"/>
    <x v="1"/>
    <x v="8"/>
  </r>
  <r>
    <x v="8"/>
    <x v="0"/>
    <n v="312617"/>
    <x v="24"/>
    <x v="1"/>
    <x v="1"/>
    <x v="8"/>
  </r>
  <r>
    <x v="8"/>
    <x v="0"/>
    <n v="303189"/>
    <x v="42"/>
    <x v="1"/>
    <x v="1"/>
    <x v="8"/>
  </r>
  <r>
    <x v="8"/>
    <x v="0"/>
    <n v="312807"/>
    <x v="21"/>
    <x v="0"/>
    <x v="0"/>
    <x v="8"/>
  </r>
  <r>
    <x v="8"/>
    <x v="0"/>
    <n v="314137"/>
    <x v="19"/>
    <x v="0"/>
    <x v="0"/>
    <x v="8"/>
  </r>
  <r>
    <x v="8"/>
    <x v="3"/>
    <n v="302988"/>
    <x v="45"/>
    <x v="1"/>
    <x v="1"/>
    <x v="8"/>
  </r>
  <r>
    <x v="8"/>
    <x v="5"/>
    <n v="218674"/>
    <x v="57"/>
    <x v="1"/>
    <x v="1"/>
    <x v="8"/>
  </r>
  <r>
    <x v="8"/>
    <x v="3"/>
    <n v="315199"/>
    <x v="15"/>
    <x v="1"/>
    <x v="1"/>
    <x v="8"/>
  </r>
  <r>
    <x v="8"/>
    <x v="0"/>
    <n v="316646"/>
    <x v="6"/>
    <x v="0"/>
    <x v="0"/>
    <x v="8"/>
  </r>
  <r>
    <x v="8"/>
    <x v="0"/>
    <n v="302856"/>
    <x v="46"/>
    <x v="0"/>
    <x v="0"/>
    <x v="8"/>
  </r>
  <r>
    <x v="8"/>
    <x v="0"/>
    <n v="316646"/>
    <x v="6"/>
    <x v="1"/>
    <x v="1"/>
    <x v="8"/>
  </r>
  <r>
    <x v="8"/>
    <x v="4"/>
    <n v="302769"/>
    <x v="49"/>
    <x v="1"/>
    <x v="1"/>
    <x v="8"/>
  </r>
  <r>
    <x v="8"/>
    <x v="1"/>
    <n v="218644"/>
    <x v="63"/>
    <x v="1"/>
    <x v="1"/>
    <x v="8"/>
  </r>
  <r>
    <x v="8"/>
    <x v="0"/>
    <n v="218916"/>
    <x v="17"/>
    <x v="1"/>
    <x v="1"/>
    <x v="8"/>
  </r>
  <r>
    <x v="8"/>
    <x v="1"/>
    <n v="316879"/>
    <x v="2"/>
    <x v="0"/>
    <x v="0"/>
    <x v="8"/>
  </r>
  <r>
    <x v="8"/>
    <x v="0"/>
    <n v="317470"/>
    <x v="10"/>
    <x v="0"/>
    <x v="0"/>
    <x v="8"/>
  </r>
  <r>
    <x v="8"/>
    <x v="3"/>
    <n v="302737"/>
    <x v="52"/>
    <x v="1"/>
    <x v="1"/>
    <x v="8"/>
  </r>
  <r>
    <x v="8"/>
    <x v="0"/>
    <n v="317470"/>
    <x v="10"/>
    <x v="1"/>
    <x v="1"/>
    <x v="8"/>
  </r>
  <r>
    <x v="8"/>
    <x v="3"/>
    <n v="218644"/>
    <x v="63"/>
    <x v="0"/>
    <x v="0"/>
    <x v="8"/>
  </r>
  <r>
    <x v="8"/>
    <x v="0"/>
    <n v="302737"/>
    <x v="52"/>
    <x v="0"/>
    <x v="0"/>
    <x v="8"/>
  </r>
  <r>
    <x v="8"/>
    <x v="0"/>
    <n v="321932"/>
    <x v="23"/>
    <x v="0"/>
    <x v="0"/>
    <x v="8"/>
  </r>
  <r>
    <x v="8"/>
    <x v="3"/>
    <n v="324108"/>
    <x v="35"/>
    <x v="0"/>
    <x v="0"/>
    <x v="8"/>
  </r>
  <r>
    <x v="8"/>
    <x v="0"/>
    <n v="302335"/>
    <x v="70"/>
    <x v="1"/>
    <x v="1"/>
    <x v="8"/>
  </r>
  <r>
    <x v="8"/>
    <x v="1"/>
    <n v="324108"/>
    <x v="35"/>
    <x v="2"/>
    <x v="2"/>
    <x v="8"/>
  </r>
  <r>
    <x v="8"/>
    <x v="3"/>
    <n v="218628"/>
    <x v="76"/>
    <x v="1"/>
    <x v="1"/>
    <x v="8"/>
  </r>
  <r>
    <x v="8"/>
    <x v="1"/>
    <n v="324108"/>
    <x v="35"/>
    <x v="1"/>
    <x v="1"/>
    <x v="8"/>
  </r>
  <r>
    <x v="8"/>
    <x v="3"/>
    <n v="302335"/>
    <x v="70"/>
    <x v="0"/>
    <x v="0"/>
    <x v="8"/>
  </r>
  <r>
    <x v="8"/>
    <x v="0"/>
    <n v="205985"/>
    <x v="27"/>
    <x v="2"/>
    <x v="2"/>
    <x v="8"/>
  </r>
  <r>
    <x v="8"/>
    <x v="0"/>
    <n v="218644"/>
    <x v="63"/>
    <x v="2"/>
    <x v="2"/>
    <x v="8"/>
  </r>
  <r>
    <x v="8"/>
    <x v="3"/>
    <n v="218628"/>
    <x v="76"/>
    <x v="0"/>
    <x v="0"/>
    <x v="8"/>
  </r>
  <r>
    <x v="8"/>
    <x v="0"/>
    <n v="216476"/>
    <x v="94"/>
    <x v="0"/>
    <x v="0"/>
    <x v="8"/>
  </r>
  <r>
    <x v="8"/>
    <x v="0"/>
    <n v="301983"/>
    <x v="85"/>
    <x v="1"/>
    <x v="1"/>
    <x v="8"/>
  </r>
  <r>
    <x v="8"/>
    <x v="0"/>
    <n v="218623"/>
    <x v="65"/>
    <x v="0"/>
    <x v="0"/>
    <x v="8"/>
  </r>
  <r>
    <x v="8"/>
    <x v="0"/>
    <n v="216476"/>
    <x v="94"/>
    <x v="2"/>
    <x v="2"/>
    <x v="8"/>
  </r>
  <r>
    <x v="8"/>
    <x v="0"/>
    <n v="144649"/>
    <x v="102"/>
    <x v="0"/>
    <x v="0"/>
    <x v="8"/>
  </r>
  <r>
    <x v="8"/>
    <x v="0"/>
    <n v="144649"/>
    <x v="102"/>
    <x v="2"/>
    <x v="2"/>
    <x v="8"/>
  </r>
  <r>
    <x v="8"/>
    <x v="0"/>
    <n v="301983"/>
    <x v="85"/>
    <x v="0"/>
    <x v="0"/>
    <x v="8"/>
  </r>
  <r>
    <x v="8"/>
    <x v="0"/>
    <n v="169537"/>
    <x v="81"/>
    <x v="0"/>
    <x v="0"/>
    <x v="8"/>
  </r>
  <r>
    <x v="8"/>
    <x v="0"/>
    <n v="169537"/>
    <x v="81"/>
    <x v="2"/>
    <x v="2"/>
    <x v="8"/>
  </r>
  <r>
    <x v="8"/>
    <x v="0"/>
    <n v="218616"/>
    <x v="86"/>
    <x v="1"/>
    <x v="1"/>
    <x v="8"/>
  </r>
  <r>
    <x v="8"/>
    <x v="0"/>
    <n v="204615"/>
    <x v="67"/>
    <x v="0"/>
    <x v="0"/>
    <x v="8"/>
  </r>
  <r>
    <x v="8"/>
    <x v="0"/>
    <n v="204615"/>
    <x v="67"/>
    <x v="2"/>
    <x v="2"/>
    <x v="8"/>
  </r>
  <r>
    <x v="8"/>
    <x v="0"/>
    <n v="301920"/>
    <x v="91"/>
    <x v="1"/>
    <x v="1"/>
    <x v="8"/>
  </r>
  <r>
    <x v="8"/>
    <x v="0"/>
    <n v="149445"/>
    <x v="99"/>
    <x v="0"/>
    <x v="0"/>
    <x v="8"/>
  </r>
  <r>
    <x v="8"/>
    <x v="0"/>
    <n v="149445"/>
    <x v="99"/>
    <x v="2"/>
    <x v="2"/>
    <x v="8"/>
  </r>
  <r>
    <x v="8"/>
    <x v="0"/>
    <n v="218402"/>
    <x v="101"/>
    <x v="1"/>
    <x v="1"/>
    <x v="8"/>
  </r>
  <r>
    <x v="8"/>
    <x v="0"/>
    <n v="314137"/>
    <x v="19"/>
    <x v="2"/>
    <x v="2"/>
    <x v="8"/>
  </r>
  <r>
    <x v="8"/>
    <x v="0"/>
    <n v="301809"/>
    <x v="95"/>
    <x v="0"/>
    <x v="0"/>
    <x v="8"/>
  </r>
  <r>
    <x v="8"/>
    <x v="0"/>
    <n v="314137"/>
    <x v="19"/>
    <x v="1"/>
    <x v="1"/>
    <x v="8"/>
  </r>
  <r>
    <x v="8"/>
    <x v="0"/>
    <n v="218916"/>
    <x v="17"/>
    <x v="0"/>
    <x v="0"/>
    <x v="8"/>
  </r>
  <r>
    <x v="8"/>
    <x v="0"/>
    <n v="218916"/>
    <x v="17"/>
    <x v="2"/>
    <x v="2"/>
    <x v="8"/>
  </r>
  <r>
    <x v="8"/>
    <x v="3"/>
    <n v="218225"/>
    <x v="1"/>
    <x v="1"/>
    <x v="1"/>
    <x v="8"/>
  </r>
  <r>
    <x v="8"/>
    <x v="3"/>
    <n v="218987"/>
    <x v="8"/>
    <x v="0"/>
    <x v="0"/>
    <x v="8"/>
  </r>
  <r>
    <x v="8"/>
    <x v="0"/>
    <n v="206236"/>
    <x v="22"/>
    <x v="0"/>
    <x v="0"/>
    <x v="8"/>
  </r>
  <r>
    <x v="8"/>
    <x v="0"/>
    <n v="301805"/>
    <x v="64"/>
    <x v="0"/>
    <x v="0"/>
    <x v="8"/>
  </r>
  <r>
    <x v="8"/>
    <x v="0"/>
    <n v="206236"/>
    <x v="22"/>
    <x v="2"/>
    <x v="2"/>
    <x v="8"/>
  </r>
  <r>
    <x v="8"/>
    <x v="0"/>
    <n v="209209"/>
    <x v="32"/>
    <x v="0"/>
    <x v="0"/>
    <x v="8"/>
  </r>
  <r>
    <x v="8"/>
    <x v="0"/>
    <n v="209209"/>
    <x v="32"/>
    <x v="2"/>
    <x v="2"/>
    <x v="8"/>
  </r>
  <r>
    <x v="8"/>
    <x v="0"/>
    <n v="218210"/>
    <x v="69"/>
    <x v="0"/>
    <x v="0"/>
    <x v="8"/>
  </r>
  <r>
    <x v="8"/>
    <x v="0"/>
    <n v="217081"/>
    <x v="13"/>
    <x v="0"/>
    <x v="0"/>
    <x v="8"/>
  </r>
  <r>
    <x v="8"/>
    <x v="0"/>
    <n v="507"/>
    <x v="9"/>
    <x v="0"/>
    <x v="0"/>
    <x v="8"/>
  </r>
  <r>
    <x v="8"/>
    <x v="0"/>
    <n v="217081"/>
    <x v="13"/>
    <x v="2"/>
    <x v="2"/>
    <x v="8"/>
  </r>
  <r>
    <x v="8"/>
    <x v="0"/>
    <n v="214951"/>
    <x v="78"/>
    <x v="0"/>
    <x v="0"/>
    <x v="8"/>
  </r>
  <r>
    <x v="8"/>
    <x v="3"/>
    <n v="507"/>
    <x v="9"/>
    <x v="2"/>
    <x v="2"/>
    <x v="8"/>
  </r>
  <r>
    <x v="8"/>
    <x v="0"/>
    <n v="217678"/>
    <x v="104"/>
    <x v="1"/>
    <x v="1"/>
    <x v="8"/>
  </r>
  <r>
    <x v="8"/>
    <x v="0"/>
    <n v="214951"/>
    <x v="78"/>
    <x v="2"/>
    <x v="2"/>
    <x v="8"/>
  </r>
  <r>
    <x v="8"/>
    <x v="0"/>
    <n v="301760"/>
    <x v="89"/>
    <x v="1"/>
    <x v="1"/>
    <x v="8"/>
  </r>
  <r>
    <x v="8"/>
    <x v="3"/>
    <n v="507"/>
    <x v="9"/>
    <x v="1"/>
    <x v="1"/>
    <x v="8"/>
  </r>
  <r>
    <x v="8"/>
    <x v="0"/>
    <n v="204952"/>
    <x v="56"/>
    <x v="0"/>
    <x v="0"/>
    <x v="8"/>
  </r>
  <r>
    <x v="8"/>
    <x v="0"/>
    <n v="204952"/>
    <x v="56"/>
    <x v="2"/>
    <x v="2"/>
    <x v="8"/>
  </r>
  <r>
    <x v="8"/>
    <x v="0"/>
    <n v="217081"/>
    <x v="13"/>
    <x v="1"/>
    <x v="1"/>
    <x v="8"/>
  </r>
  <r>
    <x v="8"/>
    <x v="0"/>
    <n v="205104"/>
    <x v="51"/>
    <x v="0"/>
    <x v="0"/>
    <x v="8"/>
  </r>
  <r>
    <x v="8"/>
    <x v="0"/>
    <n v="205104"/>
    <x v="51"/>
    <x v="2"/>
    <x v="2"/>
    <x v="8"/>
  </r>
  <r>
    <x v="8"/>
    <x v="0"/>
    <n v="210127"/>
    <x v="41"/>
    <x v="0"/>
    <x v="0"/>
    <x v="8"/>
  </r>
  <r>
    <x v="8"/>
    <x v="0"/>
    <n v="686"/>
    <x v="26"/>
    <x v="1"/>
    <x v="1"/>
    <x v="8"/>
  </r>
  <r>
    <x v="8"/>
    <x v="0"/>
    <n v="210127"/>
    <x v="41"/>
    <x v="2"/>
    <x v="2"/>
    <x v="8"/>
  </r>
  <r>
    <x v="8"/>
    <x v="0"/>
    <n v="216566"/>
    <x v="96"/>
    <x v="1"/>
    <x v="1"/>
    <x v="8"/>
  </r>
  <r>
    <x v="8"/>
    <x v="0"/>
    <n v="218674"/>
    <x v="57"/>
    <x v="0"/>
    <x v="0"/>
    <x v="8"/>
  </r>
  <r>
    <x v="8"/>
    <x v="0"/>
    <n v="218674"/>
    <x v="57"/>
    <x v="2"/>
    <x v="2"/>
    <x v="8"/>
  </r>
  <r>
    <x v="8"/>
    <x v="0"/>
    <n v="312259"/>
    <x v="28"/>
    <x v="2"/>
    <x v="2"/>
    <x v="8"/>
  </r>
  <r>
    <x v="8"/>
    <x v="0"/>
    <n v="117866"/>
    <x v="87"/>
    <x v="0"/>
    <x v="0"/>
    <x v="8"/>
  </r>
  <r>
    <x v="8"/>
    <x v="0"/>
    <n v="1733"/>
    <x v="37"/>
    <x v="0"/>
    <x v="0"/>
    <x v="8"/>
  </r>
  <r>
    <x v="8"/>
    <x v="0"/>
    <n v="216476"/>
    <x v="94"/>
    <x v="1"/>
    <x v="1"/>
    <x v="8"/>
  </r>
  <r>
    <x v="8"/>
    <x v="0"/>
    <n v="117866"/>
    <x v="87"/>
    <x v="2"/>
    <x v="2"/>
    <x v="8"/>
  </r>
  <r>
    <x v="8"/>
    <x v="0"/>
    <n v="161003"/>
    <x v="88"/>
    <x v="0"/>
    <x v="0"/>
    <x v="8"/>
  </r>
  <r>
    <x v="8"/>
    <x v="0"/>
    <n v="161003"/>
    <x v="88"/>
    <x v="2"/>
    <x v="2"/>
    <x v="8"/>
  </r>
  <r>
    <x v="8"/>
    <x v="0"/>
    <n v="206968"/>
    <x v="12"/>
    <x v="2"/>
    <x v="2"/>
    <x v="8"/>
  </r>
  <r>
    <x v="8"/>
    <x v="0"/>
    <n v="206968"/>
    <x v="12"/>
    <x v="1"/>
    <x v="1"/>
    <x v="8"/>
  </r>
  <r>
    <x v="8"/>
    <x v="0"/>
    <n v="215020"/>
    <x v="72"/>
    <x v="1"/>
    <x v="1"/>
    <x v="8"/>
  </r>
  <r>
    <x v="8"/>
    <x v="1"/>
    <n v="218987"/>
    <x v="8"/>
    <x v="2"/>
    <x v="2"/>
    <x v="8"/>
  </r>
  <r>
    <x v="8"/>
    <x v="4"/>
    <n v="1733"/>
    <x v="37"/>
    <x v="2"/>
    <x v="2"/>
    <x v="8"/>
  </r>
  <r>
    <x v="8"/>
    <x v="0"/>
    <n v="218732"/>
    <x v="29"/>
    <x v="0"/>
    <x v="0"/>
    <x v="8"/>
  </r>
  <r>
    <x v="8"/>
    <x v="0"/>
    <n v="218732"/>
    <x v="29"/>
    <x v="2"/>
    <x v="2"/>
    <x v="8"/>
  </r>
  <r>
    <x v="8"/>
    <x v="0"/>
    <n v="321932"/>
    <x v="23"/>
    <x v="2"/>
    <x v="2"/>
    <x v="8"/>
  </r>
  <r>
    <x v="8"/>
    <x v="3"/>
    <n v="215020"/>
    <x v="72"/>
    <x v="0"/>
    <x v="0"/>
    <x v="8"/>
  </r>
  <r>
    <x v="8"/>
    <x v="0"/>
    <n v="321932"/>
    <x v="23"/>
    <x v="1"/>
    <x v="1"/>
    <x v="8"/>
  </r>
  <r>
    <x v="8"/>
    <x v="0"/>
    <n v="203631"/>
    <x v="71"/>
    <x v="0"/>
    <x v="0"/>
    <x v="8"/>
  </r>
  <r>
    <x v="8"/>
    <x v="0"/>
    <n v="1733"/>
    <x v="37"/>
    <x v="1"/>
    <x v="1"/>
    <x v="8"/>
  </r>
  <r>
    <x v="8"/>
    <x v="0"/>
    <n v="203631"/>
    <x v="71"/>
    <x v="2"/>
    <x v="2"/>
    <x v="8"/>
  </r>
  <r>
    <x v="8"/>
    <x v="0"/>
    <n v="207404"/>
    <x v="16"/>
    <x v="0"/>
    <x v="0"/>
    <x v="8"/>
  </r>
  <r>
    <x v="8"/>
    <x v="5"/>
    <n v="214951"/>
    <x v="78"/>
    <x v="1"/>
    <x v="1"/>
    <x v="8"/>
  </r>
  <r>
    <x v="8"/>
    <x v="0"/>
    <n v="207404"/>
    <x v="16"/>
    <x v="2"/>
    <x v="2"/>
    <x v="8"/>
  </r>
  <r>
    <x v="8"/>
    <x v="0"/>
    <n v="210515"/>
    <x v="43"/>
    <x v="2"/>
    <x v="2"/>
    <x v="8"/>
  </r>
  <r>
    <x v="8"/>
    <x v="0"/>
    <n v="2737"/>
    <x v="62"/>
    <x v="0"/>
    <x v="0"/>
    <x v="8"/>
  </r>
  <r>
    <x v="8"/>
    <x v="0"/>
    <n v="217678"/>
    <x v="104"/>
    <x v="0"/>
    <x v="0"/>
    <x v="8"/>
  </r>
  <r>
    <x v="8"/>
    <x v="0"/>
    <n v="217678"/>
    <x v="104"/>
    <x v="2"/>
    <x v="2"/>
    <x v="8"/>
  </r>
  <r>
    <x v="8"/>
    <x v="4"/>
    <n v="213849"/>
    <x v="58"/>
    <x v="1"/>
    <x v="1"/>
    <x v="8"/>
  </r>
  <r>
    <x v="8"/>
    <x v="0"/>
    <n v="213849"/>
    <x v="58"/>
    <x v="0"/>
    <x v="0"/>
    <x v="8"/>
  </r>
  <r>
    <x v="8"/>
    <x v="0"/>
    <n v="213849"/>
    <x v="58"/>
    <x v="2"/>
    <x v="2"/>
    <x v="8"/>
  </r>
  <r>
    <x v="8"/>
    <x v="0"/>
    <n v="211622"/>
    <x v="82"/>
    <x v="0"/>
    <x v="0"/>
    <x v="8"/>
  </r>
  <r>
    <x v="8"/>
    <x v="0"/>
    <n v="301760"/>
    <x v="89"/>
    <x v="0"/>
    <x v="0"/>
    <x v="8"/>
  </r>
  <r>
    <x v="8"/>
    <x v="0"/>
    <n v="2737"/>
    <x v="62"/>
    <x v="1"/>
    <x v="1"/>
    <x v="8"/>
  </r>
  <r>
    <x v="8"/>
    <x v="0"/>
    <n v="300219"/>
    <x v="3"/>
    <x v="2"/>
    <x v="2"/>
    <x v="8"/>
  </r>
  <r>
    <x v="8"/>
    <x v="0"/>
    <n v="158751"/>
    <x v="54"/>
    <x v="0"/>
    <x v="0"/>
    <x v="8"/>
  </r>
  <r>
    <x v="8"/>
    <x v="0"/>
    <n v="158751"/>
    <x v="54"/>
    <x v="2"/>
    <x v="2"/>
    <x v="8"/>
  </r>
  <r>
    <x v="8"/>
    <x v="3"/>
    <n v="211470"/>
    <x v="53"/>
    <x v="1"/>
    <x v="1"/>
    <x v="8"/>
  </r>
  <r>
    <x v="8"/>
    <x v="0"/>
    <n v="160030"/>
    <x v="55"/>
    <x v="0"/>
    <x v="0"/>
    <x v="8"/>
  </r>
  <r>
    <x v="8"/>
    <x v="0"/>
    <n v="160030"/>
    <x v="55"/>
    <x v="2"/>
    <x v="2"/>
    <x v="8"/>
  </r>
  <r>
    <x v="8"/>
    <x v="0"/>
    <n v="117230"/>
    <x v="73"/>
    <x v="1"/>
    <x v="1"/>
    <x v="8"/>
  </r>
  <r>
    <x v="8"/>
    <x v="0"/>
    <n v="205228"/>
    <x v="44"/>
    <x v="0"/>
    <x v="0"/>
    <x v="8"/>
  </r>
  <r>
    <x v="8"/>
    <x v="0"/>
    <n v="205228"/>
    <x v="44"/>
    <x v="2"/>
    <x v="2"/>
    <x v="8"/>
  </r>
  <r>
    <x v="8"/>
    <x v="0"/>
    <n v="206298"/>
    <x v="14"/>
    <x v="0"/>
    <x v="0"/>
    <x v="8"/>
  </r>
  <r>
    <x v="8"/>
    <x v="0"/>
    <n v="211415"/>
    <x v="50"/>
    <x v="1"/>
    <x v="1"/>
    <x v="8"/>
  </r>
  <r>
    <x v="8"/>
    <x v="3"/>
    <n v="218987"/>
    <x v="8"/>
    <x v="1"/>
    <x v="1"/>
    <x v="8"/>
  </r>
  <r>
    <x v="8"/>
    <x v="0"/>
    <n v="206298"/>
    <x v="14"/>
    <x v="2"/>
    <x v="2"/>
    <x v="8"/>
  </r>
  <r>
    <x v="8"/>
    <x v="0"/>
    <n v="117442"/>
    <x v="68"/>
    <x v="1"/>
    <x v="1"/>
    <x v="8"/>
  </r>
  <r>
    <x v="8"/>
    <x v="0"/>
    <n v="300987"/>
    <x v="59"/>
    <x v="0"/>
    <x v="0"/>
    <x v="8"/>
  </r>
  <r>
    <x v="8"/>
    <x v="0"/>
    <n v="300987"/>
    <x v="59"/>
    <x v="2"/>
    <x v="2"/>
    <x v="8"/>
  </r>
  <r>
    <x v="8"/>
    <x v="2"/>
    <n v="210557"/>
    <x v="47"/>
    <x v="1"/>
    <x v="1"/>
    <x v="8"/>
  </r>
  <r>
    <x v="8"/>
    <x v="0"/>
    <n v="211415"/>
    <x v="50"/>
    <x v="0"/>
    <x v="0"/>
    <x v="8"/>
  </r>
  <r>
    <x v="8"/>
    <x v="0"/>
    <n v="211415"/>
    <x v="50"/>
    <x v="2"/>
    <x v="2"/>
    <x v="8"/>
  </r>
  <r>
    <x v="8"/>
    <x v="0"/>
    <n v="117456"/>
    <x v="80"/>
    <x v="1"/>
    <x v="1"/>
    <x v="8"/>
  </r>
  <r>
    <x v="8"/>
    <x v="0"/>
    <n v="311895"/>
    <x v="34"/>
    <x v="1"/>
    <x v="1"/>
    <x v="8"/>
  </r>
  <r>
    <x v="8"/>
    <x v="0"/>
    <n v="218623"/>
    <x v="65"/>
    <x v="2"/>
    <x v="2"/>
    <x v="8"/>
  </r>
  <r>
    <x v="8"/>
    <x v="0"/>
    <n v="117501"/>
    <x v="84"/>
    <x v="1"/>
    <x v="1"/>
    <x v="8"/>
  </r>
  <r>
    <x v="8"/>
    <x v="0"/>
    <n v="210515"/>
    <x v="43"/>
    <x v="1"/>
    <x v="1"/>
    <x v="8"/>
  </r>
  <r>
    <x v="8"/>
    <x v="0"/>
    <n v="301229"/>
    <x v="98"/>
    <x v="0"/>
    <x v="0"/>
    <x v="8"/>
  </r>
  <r>
    <x v="8"/>
    <x v="3"/>
    <n v="117819"/>
    <x v="83"/>
    <x v="1"/>
    <x v="1"/>
    <x v="8"/>
  </r>
  <r>
    <x v="8"/>
    <x v="0"/>
    <n v="218623"/>
    <x v="65"/>
    <x v="1"/>
    <x v="1"/>
    <x v="8"/>
  </r>
  <r>
    <x v="8"/>
    <x v="0"/>
    <n v="301805"/>
    <x v="64"/>
    <x v="2"/>
    <x v="2"/>
    <x v="8"/>
  </r>
  <r>
    <x v="8"/>
    <x v="0"/>
    <n v="301805"/>
    <x v="64"/>
    <x v="1"/>
    <x v="1"/>
    <x v="8"/>
  </r>
  <r>
    <x v="8"/>
    <x v="0"/>
    <n v="302737"/>
    <x v="52"/>
    <x v="2"/>
    <x v="2"/>
    <x v="8"/>
  </r>
  <r>
    <x v="8"/>
    <x v="0"/>
    <n v="210515"/>
    <x v="43"/>
    <x v="0"/>
    <x v="0"/>
    <x v="8"/>
  </r>
  <r>
    <x v="8"/>
    <x v="3"/>
    <n v="117866"/>
    <x v="87"/>
    <x v="1"/>
    <x v="1"/>
    <x v="8"/>
  </r>
  <r>
    <x v="8"/>
    <x v="0"/>
    <n v="117442"/>
    <x v="68"/>
    <x v="0"/>
    <x v="0"/>
    <x v="8"/>
  </r>
  <r>
    <x v="8"/>
    <x v="0"/>
    <n v="117442"/>
    <x v="68"/>
    <x v="2"/>
    <x v="2"/>
    <x v="8"/>
  </r>
  <r>
    <x v="8"/>
    <x v="0"/>
    <n v="206348"/>
    <x v="4"/>
    <x v="2"/>
    <x v="2"/>
    <x v="8"/>
  </r>
  <r>
    <x v="8"/>
    <x v="0"/>
    <n v="300862"/>
    <x v="66"/>
    <x v="0"/>
    <x v="0"/>
    <x v="8"/>
  </r>
  <r>
    <x v="8"/>
    <x v="3"/>
    <n v="210127"/>
    <x v="41"/>
    <x v="1"/>
    <x v="1"/>
    <x v="8"/>
  </r>
  <r>
    <x v="8"/>
    <x v="0"/>
    <n v="300862"/>
    <x v="66"/>
    <x v="2"/>
    <x v="2"/>
    <x v="8"/>
  </r>
  <r>
    <x v="8"/>
    <x v="0"/>
    <n v="117986"/>
    <x v="92"/>
    <x v="0"/>
    <x v="0"/>
    <x v="8"/>
  </r>
  <r>
    <x v="8"/>
    <x v="0"/>
    <n v="218210"/>
    <x v="69"/>
    <x v="2"/>
    <x v="2"/>
    <x v="8"/>
  </r>
  <r>
    <x v="8"/>
    <x v="0"/>
    <n v="218210"/>
    <x v="69"/>
    <x v="1"/>
    <x v="1"/>
    <x v="8"/>
  </r>
  <r>
    <x v="8"/>
    <x v="0"/>
    <n v="206708"/>
    <x v="7"/>
    <x v="2"/>
    <x v="2"/>
    <x v="8"/>
  </r>
  <r>
    <x v="8"/>
    <x v="0"/>
    <n v="207743"/>
    <x v="20"/>
    <x v="2"/>
    <x v="2"/>
    <x v="8"/>
  </r>
  <r>
    <x v="8"/>
    <x v="0"/>
    <n v="210001"/>
    <x v="36"/>
    <x v="1"/>
    <x v="1"/>
    <x v="8"/>
  </r>
  <r>
    <x v="8"/>
    <x v="0"/>
    <n v="300571"/>
    <x v="18"/>
    <x v="2"/>
    <x v="2"/>
    <x v="8"/>
  </r>
  <r>
    <x v="8"/>
    <x v="5"/>
    <n v="117986"/>
    <x v="92"/>
    <x v="2"/>
    <x v="2"/>
    <x v="8"/>
  </r>
  <r>
    <x v="8"/>
    <x v="0"/>
    <n v="131643"/>
    <x v="0"/>
    <x v="0"/>
    <x v="0"/>
    <x v="8"/>
  </r>
  <r>
    <x v="8"/>
    <x v="0"/>
    <n v="131643"/>
    <x v="0"/>
    <x v="2"/>
    <x v="2"/>
    <x v="8"/>
  </r>
  <r>
    <x v="8"/>
    <x v="0"/>
    <n v="215020"/>
    <x v="72"/>
    <x v="2"/>
    <x v="2"/>
    <x v="8"/>
  </r>
  <r>
    <x v="8"/>
    <x v="0"/>
    <n v="218225"/>
    <x v="1"/>
    <x v="0"/>
    <x v="0"/>
    <x v="8"/>
  </r>
  <r>
    <x v="8"/>
    <x v="0"/>
    <n v="210001"/>
    <x v="36"/>
    <x v="0"/>
    <x v="0"/>
    <x v="8"/>
  </r>
  <r>
    <x v="8"/>
    <x v="0"/>
    <n v="300169"/>
    <x v="5"/>
    <x v="0"/>
    <x v="0"/>
    <x v="8"/>
  </r>
  <r>
    <x v="8"/>
    <x v="0"/>
    <n v="218225"/>
    <x v="1"/>
    <x v="2"/>
    <x v="2"/>
    <x v="8"/>
  </r>
  <r>
    <x v="8"/>
    <x v="0"/>
    <n v="117986"/>
    <x v="92"/>
    <x v="1"/>
    <x v="1"/>
    <x v="8"/>
  </r>
  <r>
    <x v="8"/>
    <x v="0"/>
    <n v="218628"/>
    <x v="76"/>
    <x v="2"/>
    <x v="2"/>
    <x v="8"/>
  </r>
  <r>
    <x v="8"/>
    <x v="0"/>
    <n v="168458"/>
    <x v="75"/>
    <x v="0"/>
    <x v="0"/>
    <x v="8"/>
  </r>
  <r>
    <x v="8"/>
    <x v="0"/>
    <n v="209211"/>
    <x v="33"/>
    <x v="1"/>
    <x v="1"/>
    <x v="8"/>
  </r>
  <r>
    <x v="8"/>
    <x v="0"/>
    <n v="168458"/>
    <x v="75"/>
    <x v="2"/>
    <x v="2"/>
    <x v="8"/>
  </r>
  <r>
    <x v="8"/>
    <x v="0"/>
    <n v="117456"/>
    <x v="80"/>
    <x v="0"/>
    <x v="0"/>
    <x v="8"/>
  </r>
  <r>
    <x v="8"/>
    <x v="0"/>
    <n v="118535"/>
    <x v="90"/>
    <x v="1"/>
    <x v="1"/>
    <x v="8"/>
  </r>
  <r>
    <x v="8"/>
    <x v="0"/>
    <n v="117456"/>
    <x v="80"/>
    <x v="2"/>
    <x v="2"/>
    <x v="8"/>
  </r>
  <r>
    <x v="8"/>
    <x v="0"/>
    <n v="161520"/>
    <x v="77"/>
    <x v="0"/>
    <x v="0"/>
    <x v="8"/>
  </r>
  <r>
    <x v="8"/>
    <x v="4"/>
    <n v="209209"/>
    <x v="32"/>
    <x v="1"/>
    <x v="1"/>
    <x v="8"/>
  </r>
  <r>
    <x v="8"/>
    <x v="0"/>
    <n v="161520"/>
    <x v="77"/>
    <x v="2"/>
    <x v="2"/>
    <x v="8"/>
  </r>
  <r>
    <x v="8"/>
    <x v="3"/>
    <n v="300987"/>
    <x v="59"/>
    <x v="1"/>
    <x v="1"/>
    <x v="8"/>
  </r>
  <r>
    <x v="8"/>
    <x v="0"/>
    <n v="120762"/>
    <x v="103"/>
    <x v="0"/>
    <x v="0"/>
    <x v="8"/>
  </r>
  <r>
    <x v="8"/>
    <x v="0"/>
    <n v="205349"/>
    <x v="39"/>
    <x v="0"/>
    <x v="0"/>
    <x v="8"/>
  </r>
  <r>
    <x v="8"/>
    <x v="0"/>
    <n v="205349"/>
    <x v="39"/>
    <x v="2"/>
    <x v="2"/>
    <x v="8"/>
  </r>
  <r>
    <x v="8"/>
    <x v="0"/>
    <n v="209208"/>
    <x v="30"/>
    <x v="1"/>
    <x v="1"/>
    <x v="8"/>
  </r>
  <r>
    <x v="8"/>
    <x v="0"/>
    <n v="300169"/>
    <x v="5"/>
    <x v="2"/>
    <x v="2"/>
    <x v="8"/>
  </r>
  <r>
    <x v="8"/>
    <x v="0"/>
    <n v="316646"/>
    <x v="6"/>
    <x v="2"/>
    <x v="2"/>
    <x v="8"/>
  </r>
  <r>
    <x v="8"/>
    <x v="0"/>
    <n v="117230"/>
    <x v="73"/>
    <x v="0"/>
    <x v="0"/>
    <x v="8"/>
  </r>
  <r>
    <x v="8"/>
    <x v="0"/>
    <n v="120762"/>
    <x v="103"/>
    <x v="1"/>
    <x v="1"/>
    <x v="8"/>
  </r>
  <r>
    <x v="8"/>
    <x v="0"/>
    <n v="117230"/>
    <x v="73"/>
    <x v="2"/>
    <x v="2"/>
    <x v="8"/>
  </r>
  <r>
    <x v="8"/>
    <x v="0"/>
    <n v="210557"/>
    <x v="47"/>
    <x v="0"/>
    <x v="0"/>
    <x v="8"/>
  </r>
  <r>
    <x v="8"/>
    <x v="0"/>
    <n v="208277"/>
    <x v="25"/>
    <x v="1"/>
    <x v="1"/>
    <x v="8"/>
  </r>
  <r>
    <x v="8"/>
    <x v="0"/>
    <n v="210557"/>
    <x v="47"/>
    <x v="2"/>
    <x v="2"/>
    <x v="8"/>
  </r>
  <r>
    <x v="8"/>
    <x v="0"/>
    <n v="169872"/>
    <x v="79"/>
    <x v="0"/>
    <x v="0"/>
    <x v="8"/>
  </r>
  <r>
    <x v="8"/>
    <x v="0"/>
    <n v="169872"/>
    <x v="79"/>
    <x v="2"/>
    <x v="2"/>
    <x v="8"/>
  </r>
  <r>
    <x v="8"/>
    <x v="0"/>
    <n v="130744"/>
    <x v="97"/>
    <x v="0"/>
    <x v="0"/>
    <x v="8"/>
  </r>
  <r>
    <x v="8"/>
    <x v="0"/>
    <n v="208277"/>
    <x v="25"/>
    <x v="2"/>
    <x v="2"/>
    <x v="8"/>
  </r>
  <r>
    <x v="8"/>
    <x v="0"/>
    <n v="211622"/>
    <x v="82"/>
    <x v="2"/>
    <x v="2"/>
    <x v="8"/>
  </r>
  <r>
    <x v="8"/>
    <x v="0"/>
    <n v="208277"/>
    <x v="25"/>
    <x v="0"/>
    <x v="0"/>
    <x v="8"/>
  </r>
  <r>
    <x v="8"/>
    <x v="0"/>
    <n v="300169"/>
    <x v="5"/>
    <x v="1"/>
    <x v="1"/>
    <x v="8"/>
  </r>
  <r>
    <x v="8"/>
    <x v="0"/>
    <n v="130744"/>
    <x v="97"/>
    <x v="1"/>
    <x v="1"/>
    <x v="8"/>
  </r>
  <r>
    <x v="8"/>
    <x v="0"/>
    <n v="211622"/>
    <x v="82"/>
    <x v="1"/>
    <x v="1"/>
    <x v="8"/>
  </r>
  <r>
    <x v="8"/>
    <x v="0"/>
    <n v="311895"/>
    <x v="34"/>
    <x v="0"/>
    <x v="0"/>
    <x v="8"/>
  </r>
  <r>
    <x v="8"/>
    <x v="0"/>
    <n v="311895"/>
    <x v="34"/>
    <x v="2"/>
    <x v="2"/>
    <x v="8"/>
  </r>
  <r>
    <x v="8"/>
    <x v="3"/>
    <n v="207743"/>
    <x v="20"/>
    <x v="1"/>
    <x v="1"/>
    <x v="8"/>
  </r>
  <r>
    <x v="8"/>
    <x v="0"/>
    <n v="302856"/>
    <x v="46"/>
    <x v="2"/>
    <x v="2"/>
    <x v="8"/>
  </r>
  <r>
    <x v="8"/>
    <x v="4"/>
    <n v="131643"/>
    <x v="0"/>
    <x v="1"/>
    <x v="1"/>
    <x v="8"/>
  </r>
  <r>
    <x v="8"/>
    <x v="0"/>
    <n v="302856"/>
    <x v="46"/>
    <x v="1"/>
    <x v="1"/>
    <x v="8"/>
  </r>
  <r>
    <x v="8"/>
    <x v="0"/>
    <n v="207743"/>
    <x v="20"/>
    <x v="0"/>
    <x v="0"/>
    <x v="8"/>
  </r>
  <r>
    <x v="8"/>
    <x v="0"/>
    <n v="686"/>
    <x v="26"/>
    <x v="0"/>
    <x v="0"/>
    <x v="8"/>
  </r>
  <r>
    <x v="8"/>
    <x v="0"/>
    <n v="686"/>
    <x v="26"/>
    <x v="2"/>
    <x v="2"/>
    <x v="8"/>
  </r>
  <r>
    <x v="8"/>
    <x v="4"/>
    <n v="300862"/>
    <x v="66"/>
    <x v="1"/>
    <x v="1"/>
    <x v="8"/>
  </r>
  <r>
    <x v="8"/>
    <x v="0"/>
    <n v="140302"/>
    <x v="100"/>
    <x v="1"/>
    <x v="1"/>
    <x v="8"/>
  </r>
  <r>
    <x v="8"/>
    <x v="0"/>
    <n v="117819"/>
    <x v="83"/>
    <x v="0"/>
    <x v="0"/>
    <x v="8"/>
  </r>
  <r>
    <x v="8"/>
    <x v="0"/>
    <n v="117819"/>
    <x v="83"/>
    <x v="2"/>
    <x v="2"/>
    <x v="8"/>
  </r>
  <r>
    <x v="8"/>
    <x v="3"/>
    <n v="207404"/>
    <x v="16"/>
    <x v="1"/>
    <x v="1"/>
    <x v="8"/>
  </r>
  <r>
    <x v="8"/>
    <x v="0"/>
    <n v="209208"/>
    <x v="30"/>
    <x v="0"/>
    <x v="0"/>
    <x v="8"/>
  </r>
  <r>
    <x v="8"/>
    <x v="0"/>
    <n v="209208"/>
    <x v="30"/>
    <x v="2"/>
    <x v="2"/>
    <x v="8"/>
  </r>
  <r>
    <x v="8"/>
    <x v="0"/>
    <n v="144154"/>
    <x v="93"/>
    <x v="1"/>
    <x v="1"/>
    <x v="8"/>
  </r>
  <r>
    <x v="8"/>
    <x v="0"/>
    <n v="211470"/>
    <x v="53"/>
    <x v="0"/>
    <x v="0"/>
    <x v="8"/>
  </r>
  <r>
    <x v="8"/>
    <x v="0"/>
    <n v="211470"/>
    <x v="53"/>
    <x v="2"/>
    <x v="2"/>
    <x v="8"/>
  </r>
  <r>
    <x v="8"/>
    <x v="0"/>
    <n v="206968"/>
    <x v="12"/>
    <x v="0"/>
    <x v="0"/>
    <x v="8"/>
  </r>
  <r>
    <x v="8"/>
    <x v="0"/>
    <n v="218616"/>
    <x v="86"/>
    <x v="0"/>
    <x v="0"/>
    <x v="8"/>
  </r>
  <r>
    <x v="8"/>
    <x v="0"/>
    <n v="218616"/>
    <x v="86"/>
    <x v="2"/>
    <x v="2"/>
    <x v="8"/>
  </r>
  <r>
    <x v="8"/>
    <x v="0"/>
    <n v="323608"/>
    <x v="31"/>
    <x v="0"/>
    <x v="0"/>
    <x v="8"/>
  </r>
  <r>
    <x v="8"/>
    <x v="0"/>
    <n v="144649"/>
    <x v="102"/>
    <x v="1"/>
    <x v="1"/>
    <x v="8"/>
  </r>
  <r>
    <x v="8"/>
    <x v="0"/>
    <n v="323608"/>
    <x v="31"/>
    <x v="2"/>
    <x v="2"/>
    <x v="8"/>
  </r>
  <r>
    <x v="8"/>
    <x v="0"/>
    <n v="206708"/>
    <x v="7"/>
    <x v="1"/>
    <x v="1"/>
    <x v="8"/>
  </r>
  <r>
    <x v="8"/>
    <x v="0"/>
    <n v="300219"/>
    <x v="3"/>
    <x v="0"/>
    <x v="0"/>
    <x v="8"/>
  </r>
  <r>
    <x v="8"/>
    <x v="0"/>
    <n v="323608"/>
    <x v="31"/>
    <x v="1"/>
    <x v="1"/>
    <x v="8"/>
  </r>
  <r>
    <x v="8"/>
    <x v="0"/>
    <n v="312617"/>
    <x v="24"/>
    <x v="2"/>
    <x v="2"/>
    <x v="8"/>
  </r>
  <r>
    <x v="8"/>
    <x v="0"/>
    <n v="209211"/>
    <x v="33"/>
    <x v="0"/>
    <x v="0"/>
    <x v="8"/>
  </r>
  <r>
    <x v="8"/>
    <x v="3"/>
    <n v="149445"/>
    <x v="99"/>
    <x v="1"/>
    <x v="1"/>
    <x v="8"/>
  </r>
  <r>
    <x v="8"/>
    <x v="0"/>
    <n v="206708"/>
    <x v="7"/>
    <x v="0"/>
    <x v="0"/>
    <x v="8"/>
  </r>
  <r>
    <x v="8"/>
    <x v="0"/>
    <n v="209211"/>
    <x v="33"/>
    <x v="2"/>
    <x v="2"/>
    <x v="8"/>
  </r>
  <r>
    <x v="8"/>
    <x v="0"/>
    <n v="300711"/>
    <x v="74"/>
    <x v="0"/>
    <x v="0"/>
    <x v="8"/>
  </r>
  <r>
    <x v="8"/>
    <x v="0"/>
    <n v="300711"/>
    <x v="74"/>
    <x v="2"/>
    <x v="2"/>
    <x v="8"/>
  </r>
  <r>
    <x v="8"/>
    <x v="0"/>
    <n v="158311"/>
    <x v="60"/>
    <x v="1"/>
    <x v="1"/>
    <x v="8"/>
  </r>
  <r>
    <x v="8"/>
    <x v="0"/>
    <n v="301760"/>
    <x v="89"/>
    <x v="2"/>
    <x v="2"/>
    <x v="8"/>
  </r>
  <r>
    <x v="8"/>
    <x v="0"/>
    <n v="316879"/>
    <x v="2"/>
    <x v="2"/>
    <x v="2"/>
    <x v="8"/>
  </r>
  <r>
    <x v="8"/>
    <x v="0"/>
    <n v="206348"/>
    <x v="4"/>
    <x v="1"/>
    <x v="1"/>
    <x v="8"/>
  </r>
  <r>
    <x v="8"/>
    <x v="0"/>
    <n v="316879"/>
    <x v="2"/>
    <x v="1"/>
    <x v="1"/>
    <x v="8"/>
  </r>
  <r>
    <x v="8"/>
    <x v="0"/>
    <n v="118535"/>
    <x v="90"/>
    <x v="0"/>
    <x v="0"/>
    <x v="8"/>
  </r>
  <r>
    <x v="8"/>
    <x v="0"/>
    <n v="300711"/>
    <x v="74"/>
    <x v="1"/>
    <x v="1"/>
    <x v="8"/>
  </r>
  <r>
    <x v="8"/>
    <x v="0"/>
    <n v="158751"/>
    <x v="54"/>
    <x v="1"/>
    <x v="1"/>
    <x v="8"/>
  </r>
  <r>
    <x v="8"/>
    <x v="0"/>
    <n v="118535"/>
    <x v="90"/>
    <x v="2"/>
    <x v="2"/>
    <x v="8"/>
  </r>
  <r>
    <x v="8"/>
    <x v="0"/>
    <n v="120762"/>
    <x v="103"/>
    <x v="2"/>
    <x v="2"/>
    <x v="8"/>
  </r>
  <r>
    <x v="8"/>
    <x v="0"/>
    <n v="206348"/>
    <x v="4"/>
    <x v="0"/>
    <x v="0"/>
    <x v="8"/>
  </r>
  <r>
    <x v="8"/>
    <x v="0"/>
    <n v="210001"/>
    <x v="36"/>
    <x v="2"/>
    <x v="2"/>
    <x v="8"/>
  </r>
  <r>
    <x v="8"/>
    <x v="0"/>
    <n v="301920"/>
    <x v="91"/>
    <x v="0"/>
    <x v="0"/>
    <x v="8"/>
  </r>
  <r>
    <x v="8"/>
    <x v="3"/>
    <n v="160030"/>
    <x v="55"/>
    <x v="1"/>
    <x v="1"/>
    <x v="8"/>
  </r>
  <r>
    <x v="8"/>
    <x v="0"/>
    <n v="301920"/>
    <x v="91"/>
    <x v="2"/>
    <x v="2"/>
    <x v="8"/>
  </r>
  <r>
    <x v="8"/>
    <x v="0"/>
    <n v="302769"/>
    <x v="49"/>
    <x v="0"/>
    <x v="0"/>
    <x v="8"/>
  </r>
  <r>
    <x v="8"/>
    <x v="0"/>
    <n v="206298"/>
    <x v="14"/>
    <x v="1"/>
    <x v="1"/>
    <x v="8"/>
  </r>
  <r>
    <x v="8"/>
    <x v="0"/>
    <n v="300219"/>
    <x v="3"/>
    <x v="1"/>
    <x v="1"/>
    <x v="8"/>
  </r>
  <r>
    <x v="8"/>
    <x v="0"/>
    <n v="302769"/>
    <x v="49"/>
    <x v="2"/>
    <x v="2"/>
    <x v="8"/>
  </r>
  <r>
    <x v="8"/>
    <x v="0"/>
    <n v="303221"/>
    <x v="38"/>
    <x v="0"/>
    <x v="0"/>
    <x v="8"/>
  </r>
  <r>
    <x v="8"/>
    <x v="4"/>
    <n v="161003"/>
    <x v="88"/>
    <x v="1"/>
    <x v="1"/>
    <x v="8"/>
  </r>
  <r>
    <x v="8"/>
    <x v="0"/>
    <n v="303221"/>
    <x v="38"/>
    <x v="2"/>
    <x v="2"/>
    <x v="8"/>
  </r>
  <r>
    <x v="8"/>
    <x v="3"/>
    <n v="206236"/>
    <x v="22"/>
    <x v="1"/>
    <x v="1"/>
    <x v="8"/>
  </r>
  <r>
    <x v="8"/>
    <x v="0"/>
    <n v="312807"/>
    <x v="21"/>
    <x v="2"/>
    <x v="2"/>
    <x v="8"/>
  </r>
  <r>
    <x v="8"/>
    <x v="0"/>
    <n v="312807"/>
    <x v="21"/>
    <x v="1"/>
    <x v="1"/>
    <x v="8"/>
  </r>
  <r>
    <x v="8"/>
    <x v="0"/>
    <n v="300363"/>
    <x v="11"/>
    <x v="2"/>
    <x v="2"/>
    <x v="8"/>
  </r>
  <r>
    <x v="8"/>
    <x v="3"/>
    <n v="161520"/>
    <x v="77"/>
    <x v="1"/>
    <x v="1"/>
    <x v="8"/>
  </r>
  <r>
    <x v="8"/>
    <x v="0"/>
    <n v="300363"/>
    <x v="11"/>
    <x v="1"/>
    <x v="1"/>
    <x v="8"/>
  </r>
  <r>
    <x v="8"/>
    <x v="0"/>
    <n v="144154"/>
    <x v="93"/>
    <x v="0"/>
    <x v="0"/>
    <x v="8"/>
  </r>
  <r>
    <x v="8"/>
    <x v="0"/>
    <n v="205985"/>
    <x v="27"/>
    <x v="1"/>
    <x v="1"/>
    <x v="8"/>
  </r>
  <r>
    <x v="8"/>
    <x v="0"/>
    <n v="144154"/>
    <x v="93"/>
    <x v="2"/>
    <x v="2"/>
    <x v="8"/>
  </r>
  <r>
    <x v="8"/>
    <x v="4"/>
    <n v="168458"/>
    <x v="75"/>
    <x v="1"/>
    <x v="1"/>
    <x v="8"/>
  </r>
  <r>
    <x v="8"/>
    <x v="0"/>
    <n v="301809"/>
    <x v="95"/>
    <x v="2"/>
    <x v="2"/>
    <x v="8"/>
  </r>
  <r>
    <x v="8"/>
    <x v="0"/>
    <n v="301809"/>
    <x v="95"/>
    <x v="1"/>
    <x v="1"/>
    <x v="8"/>
  </r>
  <r>
    <x v="8"/>
    <x v="0"/>
    <n v="303189"/>
    <x v="42"/>
    <x v="0"/>
    <x v="0"/>
    <x v="8"/>
  </r>
  <r>
    <x v="8"/>
    <x v="0"/>
    <n v="300571"/>
    <x v="18"/>
    <x v="1"/>
    <x v="1"/>
    <x v="8"/>
  </r>
  <r>
    <x v="8"/>
    <x v="3"/>
    <n v="205985"/>
    <x v="27"/>
    <x v="0"/>
    <x v="0"/>
    <x v="8"/>
  </r>
  <r>
    <x v="8"/>
    <x v="0"/>
    <n v="169537"/>
    <x v="81"/>
    <x v="1"/>
    <x v="1"/>
    <x v="8"/>
  </r>
  <r>
    <x v="8"/>
    <x v="0"/>
    <n v="303189"/>
    <x v="42"/>
    <x v="2"/>
    <x v="2"/>
    <x v="8"/>
  </r>
  <r>
    <x v="8"/>
    <x v="0"/>
    <n v="303219"/>
    <x v="40"/>
    <x v="0"/>
    <x v="0"/>
    <x v="8"/>
  </r>
  <r>
    <x v="8"/>
    <x v="0"/>
    <n v="303219"/>
    <x v="40"/>
    <x v="2"/>
    <x v="2"/>
    <x v="8"/>
  </r>
  <r>
    <x v="8"/>
    <x v="0"/>
    <n v="317470"/>
    <x v="10"/>
    <x v="2"/>
    <x v="2"/>
    <x v="8"/>
  </r>
  <r>
    <x v="8"/>
    <x v="4"/>
    <n v="205349"/>
    <x v="39"/>
    <x v="1"/>
    <x v="1"/>
    <x v="8"/>
  </r>
  <r>
    <x v="8"/>
    <x v="0"/>
    <n v="169872"/>
    <x v="79"/>
    <x v="1"/>
    <x v="1"/>
    <x v="8"/>
  </r>
  <r>
    <x v="8"/>
    <x v="0"/>
    <n v="204939"/>
    <x v="61"/>
    <x v="0"/>
    <x v="0"/>
    <x v="8"/>
  </r>
  <r>
    <x v="8"/>
    <x v="0"/>
    <n v="204939"/>
    <x v="61"/>
    <x v="2"/>
    <x v="2"/>
    <x v="8"/>
  </r>
  <r>
    <x v="8"/>
    <x v="0"/>
    <n v="216566"/>
    <x v="96"/>
    <x v="0"/>
    <x v="0"/>
    <x v="8"/>
  </r>
  <r>
    <x v="8"/>
    <x v="0"/>
    <n v="216566"/>
    <x v="96"/>
    <x v="2"/>
    <x v="2"/>
    <x v="8"/>
  </r>
  <r>
    <x v="8"/>
    <x v="0"/>
    <n v="203631"/>
    <x v="71"/>
    <x v="1"/>
    <x v="1"/>
    <x v="8"/>
  </r>
  <r>
    <x v="8"/>
    <x v="0"/>
    <n v="205228"/>
    <x v="44"/>
    <x v="1"/>
    <x v="1"/>
    <x v="8"/>
  </r>
  <r>
    <x v="8"/>
    <x v="3"/>
    <n v="300363"/>
    <x v="11"/>
    <x v="0"/>
    <x v="0"/>
    <x v="8"/>
  </r>
  <r>
    <x v="8"/>
    <x v="0"/>
    <n v="302988"/>
    <x v="45"/>
    <x v="2"/>
    <x v="2"/>
    <x v="8"/>
  </r>
  <r>
    <x v="8"/>
    <x v="0"/>
    <n v="302988"/>
    <x v="45"/>
    <x v="0"/>
    <x v="0"/>
    <x v="8"/>
  </r>
  <r>
    <x v="8"/>
    <x v="0"/>
    <n v="301983"/>
    <x v="85"/>
    <x v="2"/>
    <x v="2"/>
    <x v="8"/>
  </r>
  <r>
    <x v="8"/>
    <x v="0"/>
    <n v="315199"/>
    <x v="15"/>
    <x v="2"/>
    <x v="2"/>
    <x v="8"/>
  </r>
  <r>
    <x v="8"/>
    <x v="0"/>
    <n v="2737"/>
    <x v="62"/>
    <x v="2"/>
    <x v="2"/>
    <x v="8"/>
  </r>
  <r>
    <x v="8"/>
    <x v="3"/>
    <n v="205104"/>
    <x v="51"/>
    <x v="1"/>
    <x v="1"/>
    <x v="8"/>
  </r>
  <r>
    <x v="8"/>
    <x v="0"/>
    <n v="117501"/>
    <x v="84"/>
    <x v="0"/>
    <x v="0"/>
    <x v="8"/>
  </r>
  <r>
    <x v="8"/>
    <x v="0"/>
    <n v="315199"/>
    <x v="15"/>
    <x v="0"/>
    <x v="0"/>
    <x v="8"/>
  </r>
  <r>
    <x v="8"/>
    <x v="0"/>
    <n v="218402"/>
    <x v="101"/>
    <x v="2"/>
    <x v="2"/>
    <x v="8"/>
  </r>
  <r>
    <x v="8"/>
    <x v="0"/>
    <n v="218402"/>
    <x v="101"/>
    <x v="0"/>
    <x v="0"/>
    <x v="8"/>
  </r>
  <r>
    <x v="8"/>
    <x v="0"/>
    <n v="218698"/>
    <x v="48"/>
    <x v="2"/>
    <x v="2"/>
    <x v="8"/>
  </r>
  <r>
    <x v="8"/>
    <x v="0"/>
    <n v="117501"/>
    <x v="84"/>
    <x v="2"/>
    <x v="2"/>
    <x v="8"/>
  </r>
  <r>
    <x v="8"/>
    <x v="0"/>
    <n v="204952"/>
    <x v="56"/>
    <x v="1"/>
    <x v="1"/>
    <x v="8"/>
  </r>
  <r>
    <x v="8"/>
    <x v="0"/>
    <n v="300571"/>
    <x v="18"/>
    <x v="0"/>
    <x v="0"/>
    <x v="8"/>
  </r>
  <r>
    <x v="8"/>
    <x v="0"/>
    <n v="218698"/>
    <x v="48"/>
    <x v="0"/>
    <x v="0"/>
    <x v="8"/>
  </r>
  <r>
    <x v="8"/>
    <x v="0"/>
    <n v="140302"/>
    <x v="100"/>
    <x v="2"/>
    <x v="2"/>
    <x v="8"/>
  </r>
  <r>
    <x v="8"/>
    <x v="0"/>
    <n v="140302"/>
    <x v="100"/>
    <x v="0"/>
    <x v="0"/>
    <x v="8"/>
  </r>
  <r>
    <x v="8"/>
    <x v="0"/>
    <n v="130744"/>
    <x v="97"/>
    <x v="2"/>
    <x v="2"/>
    <x v="8"/>
  </r>
  <r>
    <x v="8"/>
    <x v="0"/>
    <n v="204939"/>
    <x v="61"/>
    <x v="1"/>
    <x v="1"/>
    <x v="8"/>
  </r>
  <r>
    <x v="8"/>
    <x v="3"/>
    <n v="204615"/>
    <x v="67"/>
    <x v="1"/>
    <x v="1"/>
    <x v="8"/>
  </r>
  <r>
    <x v="8"/>
    <x v="0"/>
    <n v="302335"/>
    <x v="70"/>
    <x v="2"/>
    <x v="2"/>
    <x v="8"/>
  </r>
  <r>
    <x v="8"/>
    <x v="0"/>
    <n v="301229"/>
    <x v="98"/>
    <x v="1"/>
    <x v="1"/>
    <x v="8"/>
  </r>
  <r>
    <x v="8"/>
    <x v="0"/>
    <n v="301229"/>
    <x v="98"/>
    <x v="2"/>
    <x v="2"/>
    <x v="8"/>
  </r>
  <r>
    <x v="9"/>
    <x v="4"/>
    <n v="204615"/>
    <x v="67"/>
    <x v="1"/>
    <x v="1"/>
    <x v="9"/>
  </r>
  <r>
    <x v="9"/>
    <x v="0"/>
    <n v="300571"/>
    <x v="18"/>
    <x v="0"/>
    <x v="0"/>
    <x v="9"/>
  </r>
  <r>
    <x v="9"/>
    <x v="0"/>
    <n v="204939"/>
    <x v="61"/>
    <x v="1"/>
    <x v="1"/>
    <x v="9"/>
  </r>
  <r>
    <x v="9"/>
    <x v="0"/>
    <n v="204952"/>
    <x v="56"/>
    <x v="1"/>
    <x v="1"/>
    <x v="9"/>
  </r>
  <r>
    <x v="9"/>
    <x v="4"/>
    <n v="300363"/>
    <x v="11"/>
    <x v="0"/>
    <x v="0"/>
    <x v="9"/>
  </r>
  <r>
    <x v="9"/>
    <x v="3"/>
    <n v="205104"/>
    <x v="51"/>
    <x v="1"/>
    <x v="1"/>
    <x v="9"/>
  </r>
  <r>
    <x v="9"/>
    <x v="0"/>
    <n v="203631"/>
    <x v="71"/>
    <x v="1"/>
    <x v="1"/>
    <x v="9"/>
  </r>
  <r>
    <x v="9"/>
    <x v="0"/>
    <n v="205228"/>
    <x v="44"/>
    <x v="1"/>
    <x v="1"/>
    <x v="9"/>
  </r>
  <r>
    <x v="9"/>
    <x v="0"/>
    <n v="204952"/>
    <x v="56"/>
    <x v="0"/>
    <x v="0"/>
    <x v="9"/>
  </r>
  <r>
    <x v="9"/>
    <x v="0"/>
    <n v="204952"/>
    <x v="56"/>
    <x v="2"/>
    <x v="2"/>
    <x v="9"/>
  </r>
  <r>
    <x v="9"/>
    <x v="0"/>
    <n v="214951"/>
    <x v="78"/>
    <x v="0"/>
    <x v="0"/>
    <x v="9"/>
  </r>
  <r>
    <x v="9"/>
    <x v="0"/>
    <n v="214951"/>
    <x v="78"/>
    <x v="2"/>
    <x v="2"/>
    <x v="9"/>
  </r>
  <r>
    <x v="9"/>
    <x v="0"/>
    <n v="169872"/>
    <x v="79"/>
    <x v="1"/>
    <x v="1"/>
    <x v="9"/>
  </r>
  <r>
    <x v="9"/>
    <x v="0"/>
    <n v="205104"/>
    <x v="51"/>
    <x v="0"/>
    <x v="0"/>
    <x v="9"/>
  </r>
  <r>
    <x v="9"/>
    <x v="4"/>
    <n v="205349"/>
    <x v="39"/>
    <x v="1"/>
    <x v="1"/>
    <x v="9"/>
  </r>
  <r>
    <x v="9"/>
    <x v="0"/>
    <n v="205104"/>
    <x v="51"/>
    <x v="2"/>
    <x v="2"/>
    <x v="9"/>
  </r>
  <r>
    <x v="9"/>
    <x v="0"/>
    <n v="210127"/>
    <x v="41"/>
    <x v="0"/>
    <x v="0"/>
    <x v="9"/>
  </r>
  <r>
    <x v="9"/>
    <x v="0"/>
    <n v="210127"/>
    <x v="41"/>
    <x v="2"/>
    <x v="2"/>
    <x v="9"/>
  </r>
  <r>
    <x v="9"/>
    <x v="0"/>
    <n v="169537"/>
    <x v="81"/>
    <x v="1"/>
    <x v="1"/>
    <x v="9"/>
  </r>
  <r>
    <x v="9"/>
    <x v="0"/>
    <n v="218674"/>
    <x v="57"/>
    <x v="0"/>
    <x v="0"/>
    <x v="9"/>
  </r>
  <r>
    <x v="9"/>
    <x v="3"/>
    <n v="205985"/>
    <x v="27"/>
    <x v="0"/>
    <x v="0"/>
    <x v="9"/>
  </r>
  <r>
    <x v="9"/>
    <x v="0"/>
    <n v="218674"/>
    <x v="57"/>
    <x v="2"/>
    <x v="2"/>
    <x v="9"/>
  </r>
  <r>
    <x v="9"/>
    <x v="0"/>
    <n v="312259"/>
    <x v="28"/>
    <x v="2"/>
    <x v="2"/>
    <x v="9"/>
  </r>
  <r>
    <x v="9"/>
    <x v="0"/>
    <n v="117866"/>
    <x v="87"/>
    <x v="0"/>
    <x v="0"/>
    <x v="9"/>
  </r>
  <r>
    <x v="9"/>
    <x v="4"/>
    <n v="168458"/>
    <x v="75"/>
    <x v="1"/>
    <x v="1"/>
    <x v="9"/>
  </r>
  <r>
    <x v="9"/>
    <x v="0"/>
    <n v="117866"/>
    <x v="87"/>
    <x v="2"/>
    <x v="2"/>
    <x v="9"/>
  </r>
  <r>
    <x v="9"/>
    <x v="0"/>
    <n v="300571"/>
    <x v="18"/>
    <x v="1"/>
    <x v="1"/>
    <x v="9"/>
  </r>
  <r>
    <x v="9"/>
    <x v="0"/>
    <n v="161003"/>
    <x v="88"/>
    <x v="0"/>
    <x v="0"/>
    <x v="9"/>
  </r>
  <r>
    <x v="9"/>
    <x v="0"/>
    <n v="205985"/>
    <x v="27"/>
    <x v="1"/>
    <x v="1"/>
    <x v="9"/>
  </r>
  <r>
    <x v="9"/>
    <x v="0"/>
    <n v="161003"/>
    <x v="88"/>
    <x v="2"/>
    <x v="2"/>
    <x v="9"/>
  </r>
  <r>
    <x v="9"/>
    <x v="3"/>
    <n v="161520"/>
    <x v="77"/>
    <x v="1"/>
    <x v="1"/>
    <x v="9"/>
  </r>
  <r>
    <x v="9"/>
    <x v="0"/>
    <n v="206968"/>
    <x v="12"/>
    <x v="2"/>
    <x v="2"/>
    <x v="9"/>
  </r>
  <r>
    <x v="9"/>
    <x v="0"/>
    <n v="206968"/>
    <x v="12"/>
    <x v="1"/>
    <x v="1"/>
    <x v="9"/>
  </r>
  <r>
    <x v="9"/>
    <x v="0"/>
    <n v="218732"/>
    <x v="29"/>
    <x v="0"/>
    <x v="0"/>
    <x v="9"/>
  </r>
  <r>
    <x v="9"/>
    <x v="0"/>
    <n v="300219"/>
    <x v="3"/>
    <x v="1"/>
    <x v="1"/>
    <x v="9"/>
  </r>
  <r>
    <x v="9"/>
    <x v="3"/>
    <n v="206236"/>
    <x v="22"/>
    <x v="1"/>
    <x v="1"/>
    <x v="9"/>
  </r>
  <r>
    <x v="9"/>
    <x v="4"/>
    <n v="161003"/>
    <x v="88"/>
    <x v="1"/>
    <x v="1"/>
    <x v="9"/>
  </r>
  <r>
    <x v="9"/>
    <x v="0"/>
    <n v="218732"/>
    <x v="29"/>
    <x v="2"/>
    <x v="2"/>
    <x v="9"/>
  </r>
  <r>
    <x v="9"/>
    <x v="0"/>
    <n v="321932"/>
    <x v="23"/>
    <x v="2"/>
    <x v="2"/>
    <x v="9"/>
  </r>
  <r>
    <x v="9"/>
    <x v="0"/>
    <n v="321932"/>
    <x v="23"/>
    <x v="1"/>
    <x v="1"/>
    <x v="9"/>
  </r>
  <r>
    <x v="9"/>
    <x v="0"/>
    <n v="206298"/>
    <x v="14"/>
    <x v="1"/>
    <x v="1"/>
    <x v="9"/>
  </r>
  <r>
    <x v="9"/>
    <x v="0"/>
    <n v="203631"/>
    <x v="71"/>
    <x v="0"/>
    <x v="0"/>
    <x v="9"/>
  </r>
  <r>
    <x v="9"/>
    <x v="3"/>
    <n v="160030"/>
    <x v="55"/>
    <x v="1"/>
    <x v="1"/>
    <x v="9"/>
  </r>
  <r>
    <x v="9"/>
    <x v="0"/>
    <n v="203631"/>
    <x v="71"/>
    <x v="2"/>
    <x v="2"/>
    <x v="9"/>
  </r>
  <r>
    <x v="9"/>
    <x v="0"/>
    <n v="207404"/>
    <x v="16"/>
    <x v="0"/>
    <x v="0"/>
    <x v="9"/>
  </r>
  <r>
    <x v="9"/>
    <x v="0"/>
    <n v="207404"/>
    <x v="16"/>
    <x v="2"/>
    <x v="2"/>
    <x v="9"/>
  </r>
  <r>
    <x v="9"/>
    <x v="0"/>
    <n v="206348"/>
    <x v="4"/>
    <x v="0"/>
    <x v="0"/>
    <x v="9"/>
  </r>
  <r>
    <x v="9"/>
    <x v="0"/>
    <n v="210515"/>
    <x v="43"/>
    <x v="2"/>
    <x v="2"/>
    <x v="9"/>
  </r>
  <r>
    <x v="9"/>
    <x v="0"/>
    <n v="158751"/>
    <x v="54"/>
    <x v="1"/>
    <x v="1"/>
    <x v="9"/>
  </r>
  <r>
    <x v="9"/>
    <x v="0"/>
    <n v="217678"/>
    <x v="104"/>
    <x v="0"/>
    <x v="0"/>
    <x v="9"/>
  </r>
  <r>
    <x v="9"/>
    <x v="0"/>
    <n v="217678"/>
    <x v="104"/>
    <x v="2"/>
    <x v="2"/>
    <x v="9"/>
  </r>
  <r>
    <x v="9"/>
    <x v="0"/>
    <n v="158751"/>
    <x v="54"/>
    <x v="0"/>
    <x v="0"/>
    <x v="9"/>
  </r>
  <r>
    <x v="9"/>
    <x v="0"/>
    <n v="158751"/>
    <x v="54"/>
    <x v="2"/>
    <x v="2"/>
    <x v="9"/>
  </r>
  <r>
    <x v="9"/>
    <x v="0"/>
    <n v="206348"/>
    <x v="4"/>
    <x v="1"/>
    <x v="1"/>
    <x v="9"/>
  </r>
  <r>
    <x v="9"/>
    <x v="0"/>
    <n v="160030"/>
    <x v="55"/>
    <x v="0"/>
    <x v="0"/>
    <x v="9"/>
  </r>
  <r>
    <x v="9"/>
    <x v="0"/>
    <n v="158311"/>
    <x v="60"/>
    <x v="1"/>
    <x v="1"/>
    <x v="9"/>
  </r>
  <r>
    <x v="9"/>
    <x v="0"/>
    <n v="160030"/>
    <x v="55"/>
    <x v="2"/>
    <x v="2"/>
    <x v="9"/>
  </r>
  <r>
    <x v="9"/>
    <x v="0"/>
    <n v="300711"/>
    <x v="74"/>
    <x v="1"/>
    <x v="1"/>
    <x v="9"/>
  </r>
  <r>
    <x v="9"/>
    <x v="0"/>
    <n v="205228"/>
    <x v="44"/>
    <x v="0"/>
    <x v="0"/>
    <x v="9"/>
  </r>
  <r>
    <x v="9"/>
    <x v="0"/>
    <n v="205228"/>
    <x v="44"/>
    <x v="2"/>
    <x v="2"/>
    <x v="9"/>
  </r>
  <r>
    <x v="9"/>
    <x v="0"/>
    <n v="300219"/>
    <x v="3"/>
    <x v="0"/>
    <x v="0"/>
    <x v="9"/>
  </r>
  <r>
    <x v="9"/>
    <x v="3"/>
    <n v="149445"/>
    <x v="99"/>
    <x v="1"/>
    <x v="1"/>
    <x v="9"/>
  </r>
  <r>
    <x v="9"/>
    <x v="0"/>
    <n v="206708"/>
    <x v="7"/>
    <x v="0"/>
    <x v="0"/>
    <x v="9"/>
  </r>
  <r>
    <x v="9"/>
    <x v="0"/>
    <n v="206298"/>
    <x v="14"/>
    <x v="0"/>
    <x v="0"/>
    <x v="9"/>
  </r>
  <r>
    <x v="9"/>
    <x v="0"/>
    <n v="206298"/>
    <x v="14"/>
    <x v="2"/>
    <x v="2"/>
    <x v="9"/>
  </r>
  <r>
    <x v="9"/>
    <x v="0"/>
    <n v="213849"/>
    <x v="58"/>
    <x v="0"/>
    <x v="0"/>
    <x v="9"/>
  </r>
  <r>
    <x v="9"/>
    <x v="0"/>
    <n v="206708"/>
    <x v="7"/>
    <x v="1"/>
    <x v="1"/>
    <x v="9"/>
  </r>
  <r>
    <x v="9"/>
    <x v="0"/>
    <n v="144649"/>
    <x v="102"/>
    <x v="1"/>
    <x v="1"/>
    <x v="9"/>
  </r>
  <r>
    <x v="9"/>
    <x v="0"/>
    <n v="213849"/>
    <x v="58"/>
    <x v="2"/>
    <x v="2"/>
    <x v="9"/>
  </r>
  <r>
    <x v="9"/>
    <x v="0"/>
    <n v="300219"/>
    <x v="3"/>
    <x v="2"/>
    <x v="2"/>
    <x v="9"/>
  </r>
  <r>
    <x v="9"/>
    <x v="0"/>
    <n v="300987"/>
    <x v="59"/>
    <x v="0"/>
    <x v="0"/>
    <x v="9"/>
  </r>
  <r>
    <x v="9"/>
    <x v="0"/>
    <n v="300987"/>
    <x v="59"/>
    <x v="2"/>
    <x v="2"/>
    <x v="9"/>
  </r>
  <r>
    <x v="9"/>
    <x v="0"/>
    <n v="206968"/>
    <x v="12"/>
    <x v="0"/>
    <x v="0"/>
    <x v="9"/>
  </r>
  <r>
    <x v="9"/>
    <x v="0"/>
    <n v="158311"/>
    <x v="60"/>
    <x v="0"/>
    <x v="0"/>
    <x v="9"/>
  </r>
  <r>
    <x v="9"/>
    <x v="0"/>
    <n v="144154"/>
    <x v="93"/>
    <x v="1"/>
    <x v="1"/>
    <x v="9"/>
  </r>
  <r>
    <x v="9"/>
    <x v="0"/>
    <n v="158311"/>
    <x v="60"/>
    <x v="2"/>
    <x v="2"/>
    <x v="9"/>
  </r>
  <r>
    <x v="9"/>
    <x v="0"/>
    <n v="211415"/>
    <x v="50"/>
    <x v="0"/>
    <x v="0"/>
    <x v="9"/>
  </r>
  <r>
    <x v="9"/>
    <x v="0"/>
    <n v="211415"/>
    <x v="50"/>
    <x v="2"/>
    <x v="2"/>
    <x v="9"/>
  </r>
  <r>
    <x v="9"/>
    <x v="3"/>
    <n v="207404"/>
    <x v="16"/>
    <x v="1"/>
    <x v="1"/>
    <x v="9"/>
  </r>
  <r>
    <x v="9"/>
    <x v="0"/>
    <n v="218623"/>
    <x v="65"/>
    <x v="2"/>
    <x v="2"/>
    <x v="9"/>
  </r>
  <r>
    <x v="9"/>
    <x v="0"/>
    <n v="140302"/>
    <x v="100"/>
    <x v="1"/>
    <x v="1"/>
    <x v="9"/>
  </r>
  <r>
    <x v="9"/>
    <x v="0"/>
    <n v="218623"/>
    <x v="65"/>
    <x v="1"/>
    <x v="1"/>
    <x v="9"/>
  </r>
  <r>
    <x v="9"/>
    <x v="0"/>
    <n v="301805"/>
    <x v="64"/>
    <x v="2"/>
    <x v="2"/>
    <x v="9"/>
  </r>
  <r>
    <x v="9"/>
    <x v="0"/>
    <n v="301805"/>
    <x v="64"/>
    <x v="1"/>
    <x v="1"/>
    <x v="9"/>
  </r>
  <r>
    <x v="9"/>
    <x v="0"/>
    <n v="117442"/>
    <x v="68"/>
    <x v="0"/>
    <x v="0"/>
    <x v="9"/>
  </r>
  <r>
    <x v="9"/>
    <x v="0"/>
    <n v="207743"/>
    <x v="20"/>
    <x v="0"/>
    <x v="0"/>
    <x v="9"/>
  </r>
  <r>
    <x v="9"/>
    <x v="4"/>
    <n v="131643"/>
    <x v="0"/>
    <x v="1"/>
    <x v="1"/>
    <x v="9"/>
  </r>
  <r>
    <x v="9"/>
    <x v="0"/>
    <n v="117442"/>
    <x v="68"/>
    <x v="2"/>
    <x v="2"/>
    <x v="9"/>
  </r>
  <r>
    <x v="9"/>
    <x v="4"/>
    <n v="300862"/>
    <x v="66"/>
    <x v="1"/>
    <x v="1"/>
    <x v="9"/>
  </r>
  <r>
    <x v="9"/>
    <x v="0"/>
    <n v="300169"/>
    <x v="5"/>
    <x v="1"/>
    <x v="1"/>
    <x v="9"/>
  </r>
  <r>
    <x v="9"/>
    <x v="3"/>
    <n v="207743"/>
    <x v="20"/>
    <x v="1"/>
    <x v="1"/>
    <x v="9"/>
  </r>
  <r>
    <x v="9"/>
    <x v="0"/>
    <n v="206348"/>
    <x v="4"/>
    <x v="2"/>
    <x v="2"/>
    <x v="9"/>
  </r>
  <r>
    <x v="9"/>
    <x v="0"/>
    <n v="300862"/>
    <x v="66"/>
    <x v="0"/>
    <x v="0"/>
    <x v="9"/>
  </r>
  <r>
    <x v="9"/>
    <x v="0"/>
    <n v="130744"/>
    <x v="97"/>
    <x v="1"/>
    <x v="1"/>
    <x v="9"/>
  </r>
  <r>
    <x v="9"/>
    <x v="0"/>
    <n v="300862"/>
    <x v="66"/>
    <x v="2"/>
    <x v="2"/>
    <x v="9"/>
  </r>
  <r>
    <x v="9"/>
    <x v="0"/>
    <n v="208277"/>
    <x v="25"/>
    <x v="0"/>
    <x v="0"/>
    <x v="9"/>
  </r>
  <r>
    <x v="9"/>
    <x v="0"/>
    <n v="302737"/>
    <x v="52"/>
    <x v="2"/>
    <x v="2"/>
    <x v="9"/>
  </r>
  <r>
    <x v="9"/>
    <x v="0"/>
    <n v="130744"/>
    <x v="97"/>
    <x v="0"/>
    <x v="0"/>
    <x v="9"/>
  </r>
  <r>
    <x v="9"/>
    <x v="0"/>
    <n v="218210"/>
    <x v="69"/>
    <x v="2"/>
    <x v="2"/>
    <x v="9"/>
  </r>
  <r>
    <x v="9"/>
    <x v="0"/>
    <n v="218210"/>
    <x v="69"/>
    <x v="1"/>
    <x v="1"/>
    <x v="9"/>
  </r>
  <r>
    <x v="9"/>
    <x v="0"/>
    <n v="206708"/>
    <x v="7"/>
    <x v="2"/>
    <x v="2"/>
    <x v="9"/>
  </r>
  <r>
    <x v="9"/>
    <x v="0"/>
    <n v="207743"/>
    <x v="20"/>
    <x v="2"/>
    <x v="2"/>
    <x v="9"/>
  </r>
  <r>
    <x v="9"/>
    <x v="0"/>
    <n v="208277"/>
    <x v="25"/>
    <x v="1"/>
    <x v="1"/>
    <x v="9"/>
  </r>
  <r>
    <x v="9"/>
    <x v="0"/>
    <n v="300571"/>
    <x v="18"/>
    <x v="2"/>
    <x v="2"/>
    <x v="9"/>
  </r>
  <r>
    <x v="9"/>
    <x v="0"/>
    <n v="120762"/>
    <x v="103"/>
    <x v="1"/>
    <x v="1"/>
    <x v="9"/>
  </r>
  <r>
    <x v="9"/>
    <x v="0"/>
    <n v="131643"/>
    <x v="0"/>
    <x v="0"/>
    <x v="0"/>
    <x v="9"/>
  </r>
  <r>
    <x v="9"/>
    <x v="0"/>
    <n v="131643"/>
    <x v="0"/>
    <x v="2"/>
    <x v="2"/>
    <x v="9"/>
  </r>
  <r>
    <x v="9"/>
    <x v="0"/>
    <n v="215020"/>
    <x v="72"/>
    <x v="2"/>
    <x v="2"/>
    <x v="9"/>
  </r>
  <r>
    <x v="9"/>
    <x v="0"/>
    <n v="218225"/>
    <x v="1"/>
    <x v="0"/>
    <x v="0"/>
    <x v="9"/>
  </r>
  <r>
    <x v="9"/>
    <x v="0"/>
    <n v="209208"/>
    <x v="30"/>
    <x v="1"/>
    <x v="1"/>
    <x v="9"/>
  </r>
  <r>
    <x v="9"/>
    <x v="0"/>
    <n v="218225"/>
    <x v="1"/>
    <x v="2"/>
    <x v="2"/>
    <x v="9"/>
  </r>
  <r>
    <x v="9"/>
    <x v="0"/>
    <n v="120762"/>
    <x v="103"/>
    <x v="0"/>
    <x v="0"/>
    <x v="9"/>
  </r>
  <r>
    <x v="9"/>
    <x v="0"/>
    <n v="168458"/>
    <x v="75"/>
    <x v="0"/>
    <x v="0"/>
    <x v="9"/>
  </r>
  <r>
    <x v="9"/>
    <x v="0"/>
    <n v="168458"/>
    <x v="75"/>
    <x v="2"/>
    <x v="2"/>
    <x v="9"/>
  </r>
  <r>
    <x v="9"/>
    <x v="0"/>
    <n v="218628"/>
    <x v="76"/>
    <x v="2"/>
    <x v="2"/>
    <x v="9"/>
  </r>
  <r>
    <x v="9"/>
    <x v="4"/>
    <n v="209209"/>
    <x v="32"/>
    <x v="1"/>
    <x v="1"/>
    <x v="9"/>
  </r>
  <r>
    <x v="9"/>
    <x v="0"/>
    <n v="117456"/>
    <x v="80"/>
    <x v="0"/>
    <x v="0"/>
    <x v="9"/>
  </r>
  <r>
    <x v="9"/>
    <x v="0"/>
    <n v="118535"/>
    <x v="90"/>
    <x v="1"/>
    <x v="1"/>
    <x v="9"/>
  </r>
  <r>
    <x v="9"/>
    <x v="0"/>
    <n v="117456"/>
    <x v="80"/>
    <x v="2"/>
    <x v="2"/>
    <x v="9"/>
  </r>
  <r>
    <x v="9"/>
    <x v="3"/>
    <n v="300987"/>
    <x v="59"/>
    <x v="1"/>
    <x v="1"/>
    <x v="9"/>
  </r>
  <r>
    <x v="9"/>
    <x v="0"/>
    <n v="161520"/>
    <x v="77"/>
    <x v="0"/>
    <x v="0"/>
    <x v="9"/>
  </r>
  <r>
    <x v="9"/>
    <x v="0"/>
    <n v="300169"/>
    <x v="5"/>
    <x v="0"/>
    <x v="0"/>
    <x v="9"/>
  </r>
  <r>
    <x v="9"/>
    <x v="0"/>
    <n v="209211"/>
    <x v="33"/>
    <x v="1"/>
    <x v="1"/>
    <x v="9"/>
  </r>
  <r>
    <x v="9"/>
    <x v="0"/>
    <n v="161520"/>
    <x v="77"/>
    <x v="2"/>
    <x v="2"/>
    <x v="9"/>
  </r>
  <r>
    <x v="9"/>
    <x v="0"/>
    <n v="117986"/>
    <x v="92"/>
    <x v="1"/>
    <x v="1"/>
    <x v="9"/>
  </r>
  <r>
    <x v="9"/>
    <x v="0"/>
    <n v="205349"/>
    <x v="39"/>
    <x v="0"/>
    <x v="0"/>
    <x v="9"/>
  </r>
  <r>
    <x v="9"/>
    <x v="0"/>
    <n v="205349"/>
    <x v="39"/>
    <x v="2"/>
    <x v="2"/>
    <x v="9"/>
  </r>
  <r>
    <x v="9"/>
    <x v="0"/>
    <n v="210001"/>
    <x v="36"/>
    <x v="0"/>
    <x v="0"/>
    <x v="9"/>
  </r>
  <r>
    <x v="9"/>
    <x v="0"/>
    <n v="316646"/>
    <x v="6"/>
    <x v="2"/>
    <x v="2"/>
    <x v="9"/>
  </r>
  <r>
    <x v="9"/>
    <x v="0"/>
    <n v="117230"/>
    <x v="73"/>
    <x v="0"/>
    <x v="0"/>
    <x v="9"/>
  </r>
  <r>
    <x v="9"/>
    <x v="0"/>
    <n v="117230"/>
    <x v="73"/>
    <x v="2"/>
    <x v="2"/>
    <x v="9"/>
  </r>
  <r>
    <x v="9"/>
    <x v="5"/>
    <n v="117986"/>
    <x v="92"/>
    <x v="2"/>
    <x v="2"/>
    <x v="9"/>
  </r>
  <r>
    <x v="9"/>
    <x v="0"/>
    <n v="210557"/>
    <x v="47"/>
    <x v="0"/>
    <x v="0"/>
    <x v="9"/>
  </r>
  <r>
    <x v="9"/>
    <x v="0"/>
    <n v="210557"/>
    <x v="47"/>
    <x v="2"/>
    <x v="2"/>
    <x v="9"/>
  </r>
  <r>
    <x v="9"/>
    <x v="0"/>
    <n v="210001"/>
    <x v="36"/>
    <x v="1"/>
    <x v="1"/>
    <x v="9"/>
  </r>
  <r>
    <x v="9"/>
    <x v="0"/>
    <n v="300169"/>
    <x v="5"/>
    <x v="2"/>
    <x v="2"/>
    <x v="9"/>
  </r>
  <r>
    <x v="9"/>
    <x v="0"/>
    <n v="169872"/>
    <x v="79"/>
    <x v="0"/>
    <x v="0"/>
    <x v="9"/>
  </r>
  <r>
    <x v="9"/>
    <x v="0"/>
    <n v="169872"/>
    <x v="79"/>
    <x v="2"/>
    <x v="2"/>
    <x v="9"/>
  </r>
  <r>
    <x v="9"/>
    <x v="0"/>
    <n v="117986"/>
    <x v="92"/>
    <x v="0"/>
    <x v="0"/>
    <x v="9"/>
  </r>
  <r>
    <x v="9"/>
    <x v="0"/>
    <n v="208277"/>
    <x v="25"/>
    <x v="2"/>
    <x v="2"/>
    <x v="9"/>
  </r>
  <r>
    <x v="9"/>
    <x v="0"/>
    <n v="211622"/>
    <x v="82"/>
    <x v="2"/>
    <x v="2"/>
    <x v="9"/>
  </r>
  <r>
    <x v="9"/>
    <x v="3"/>
    <n v="210127"/>
    <x v="41"/>
    <x v="1"/>
    <x v="1"/>
    <x v="9"/>
  </r>
  <r>
    <x v="9"/>
    <x v="0"/>
    <n v="211622"/>
    <x v="82"/>
    <x v="1"/>
    <x v="1"/>
    <x v="9"/>
  </r>
  <r>
    <x v="9"/>
    <x v="0"/>
    <n v="311895"/>
    <x v="34"/>
    <x v="0"/>
    <x v="0"/>
    <x v="9"/>
  </r>
  <r>
    <x v="9"/>
    <x v="0"/>
    <n v="311895"/>
    <x v="34"/>
    <x v="2"/>
    <x v="2"/>
    <x v="9"/>
  </r>
  <r>
    <x v="9"/>
    <x v="3"/>
    <n v="117866"/>
    <x v="87"/>
    <x v="1"/>
    <x v="1"/>
    <x v="9"/>
  </r>
  <r>
    <x v="9"/>
    <x v="0"/>
    <n v="686"/>
    <x v="26"/>
    <x v="0"/>
    <x v="0"/>
    <x v="9"/>
  </r>
  <r>
    <x v="9"/>
    <x v="0"/>
    <n v="210515"/>
    <x v="43"/>
    <x v="0"/>
    <x v="0"/>
    <x v="9"/>
  </r>
  <r>
    <x v="9"/>
    <x v="0"/>
    <n v="686"/>
    <x v="26"/>
    <x v="2"/>
    <x v="2"/>
    <x v="9"/>
  </r>
  <r>
    <x v="9"/>
    <x v="0"/>
    <n v="117819"/>
    <x v="83"/>
    <x v="0"/>
    <x v="0"/>
    <x v="9"/>
  </r>
  <r>
    <x v="9"/>
    <x v="0"/>
    <n v="117819"/>
    <x v="83"/>
    <x v="2"/>
    <x v="2"/>
    <x v="9"/>
  </r>
  <r>
    <x v="9"/>
    <x v="3"/>
    <n v="117819"/>
    <x v="83"/>
    <x v="1"/>
    <x v="1"/>
    <x v="9"/>
  </r>
  <r>
    <x v="9"/>
    <x v="0"/>
    <n v="209208"/>
    <x v="30"/>
    <x v="0"/>
    <x v="0"/>
    <x v="9"/>
  </r>
  <r>
    <x v="9"/>
    <x v="0"/>
    <n v="209208"/>
    <x v="30"/>
    <x v="2"/>
    <x v="2"/>
    <x v="9"/>
  </r>
  <r>
    <x v="9"/>
    <x v="0"/>
    <n v="210515"/>
    <x v="43"/>
    <x v="1"/>
    <x v="1"/>
    <x v="9"/>
  </r>
  <r>
    <x v="9"/>
    <x v="0"/>
    <n v="301229"/>
    <x v="98"/>
    <x v="0"/>
    <x v="0"/>
    <x v="9"/>
  </r>
  <r>
    <x v="9"/>
    <x v="0"/>
    <n v="211470"/>
    <x v="53"/>
    <x v="0"/>
    <x v="0"/>
    <x v="9"/>
  </r>
  <r>
    <x v="9"/>
    <x v="0"/>
    <n v="211470"/>
    <x v="53"/>
    <x v="2"/>
    <x v="2"/>
    <x v="9"/>
  </r>
  <r>
    <x v="9"/>
    <x v="0"/>
    <n v="218732"/>
    <x v="29"/>
    <x v="1"/>
    <x v="1"/>
    <x v="9"/>
  </r>
  <r>
    <x v="9"/>
    <x v="0"/>
    <n v="117456"/>
    <x v="80"/>
    <x v="1"/>
    <x v="1"/>
    <x v="9"/>
  </r>
  <r>
    <x v="9"/>
    <x v="0"/>
    <n v="302856"/>
    <x v="46"/>
    <x v="2"/>
    <x v="2"/>
    <x v="9"/>
  </r>
  <r>
    <x v="9"/>
    <x v="0"/>
    <n v="302856"/>
    <x v="46"/>
    <x v="1"/>
    <x v="1"/>
    <x v="9"/>
  </r>
  <r>
    <x v="9"/>
    <x v="3"/>
    <n v="218987"/>
    <x v="8"/>
    <x v="1"/>
    <x v="1"/>
    <x v="9"/>
  </r>
  <r>
    <x v="9"/>
    <x v="2"/>
    <n v="210557"/>
    <x v="47"/>
    <x v="1"/>
    <x v="1"/>
    <x v="9"/>
  </r>
  <r>
    <x v="9"/>
    <x v="0"/>
    <n v="218616"/>
    <x v="86"/>
    <x v="0"/>
    <x v="0"/>
    <x v="9"/>
  </r>
  <r>
    <x v="9"/>
    <x v="0"/>
    <n v="117442"/>
    <x v="68"/>
    <x v="1"/>
    <x v="1"/>
    <x v="9"/>
  </r>
  <r>
    <x v="9"/>
    <x v="0"/>
    <n v="218616"/>
    <x v="86"/>
    <x v="2"/>
    <x v="2"/>
    <x v="9"/>
  </r>
  <r>
    <x v="9"/>
    <x v="0"/>
    <n v="323608"/>
    <x v="31"/>
    <x v="0"/>
    <x v="0"/>
    <x v="9"/>
  </r>
  <r>
    <x v="9"/>
    <x v="0"/>
    <n v="211415"/>
    <x v="50"/>
    <x v="1"/>
    <x v="1"/>
    <x v="9"/>
  </r>
  <r>
    <x v="9"/>
    <x v="0"/>
    <n v="323608"/>
    <x v="31"/>
    <x v="2"/>
    <x v="2"/>
    <x v="9"/>
  </r>
  <r>
    <x v="9"/>
    <x v="0"/>
    <n v="323608"/>
    <x v="31"/>
    <x v="1"/>
    <x v="1"/>
    <x v="9"/>
  </r>
  <r>
    <x v="9"/>
    <x v="0"/>
    <n v="117230"/>
    <x v="73"/>
    <x v="1"/>
    <x v="1"/>
    <x v="9"/>
  </r>
  <r>
    <x v="9"/>
    <x v="0"/>
    <n v="209211"/>
    <x v="33"/>
    <x v="0"/>
    <x v="0"/>
    <x v="9"/>
  </r>
  <r>
    <x v="9"/>
    <x v="0"/>
    <n v="209211"/>
    <x v="33"/>
    <x v="2"/>
    <x v="2"/>
    <x v="9"/>
  </r>
  <r>
    <x v="9"/>
    <x v="0"/>
    <n v="312617"/>
    <x v="24"/>
    <x v="2"/>
    <x v="2"/>
    <x v="9"/>
  </r>
  <r>
    <x v="9"/>
    <x v="3"/>
    <n v="211470"/>
    <x v="53"/>
    <x v="1"/>
    <x v="1"/>
    <x v="9"/>
  </r>
  <r>
    <x v="9"/>
    <x v="0"/>
    <n v="316879"/>
    <x v="2"/>
    <x v="2"/>
    <x v="2"/>
    <x v="9"/>
  </r>
  <r>
    <x v="9"/>
    <x v="0"/>
    <n v="316879"/>
    <x v="2"/>
    <x v="1"/>
    <x v="1"/>
    <x v="9"/>
  </r>
  <r>
    <x v="9"/>
    <x v="0"/>
    <n v="2737"/>
    <x v="62"/>
    <x v="1"/>
    <x v="1"/>
    <x v="9"/>
  </r>
  <r>
    <x v="9"/>
    <x v="0"/>
    <n v="118535"/>
    <x v="90"/>
    <x v="0"/>
    <x v="0"/>
    <x v="9"/>
  </r>
  <r>
    <x v="9"/>
    <x v="0"/>
    <n v="118535"/>
    <x v="90"/>
    <x v="2"/>
    <x v="2"/>
    <x v="9"/>
  </r>
  <r>
    <x v="9"/>
    <x v="0"/>
    <n v="211622"/>
    <x v="82"/>
    <x v="0"/>
    <x v="0"/>
    <x v="9"/>
  </r>
  <r>
    <x v="9"/>
    <x v="0"/>
    <n v="120762"/>
    <x v="103"/>
    <x v="2"/>
    <x v="2"/>
    <x v="9"/>
  </r>
  <r>
    <x v="9"/>
    <x v="4"/>
    <n v="213849"/>
    <x v="58"/>
    <x v="1"/>
    <x v="1"/>
    <x v="9"/>
  </r>
  <r>
    <x v="9"/>
    <x v="0"/>
    <n v="300711"/>
    <x v="74"/>
    <x v="0"/>
    <x v="0"/>
    <x v="9"/>
  </r>
  <r>
    <x v="9"/>
    <x v="0"/>
    <n v="2737"/>
    <x v="62"/>
    <x v="0"/>
    <x v="0"/>
    <x v="9"/>
  </r>
  <r>
    <x v="9"/>
    <x v="0"/>
    <n v="300711"/>
    <x v="74"/>
    <x v="2"/>
    <x v="2"/>
    <x v="9"/>
  </r>
  <r>
    <x v="9"/>
    <x v="0"/>
    <n v="301760"/>
    <x v="89"/>
    <x v="0"/>
    <x v="0"/>
    <x v="9"/>
  </r>
  <r>
    <x v="9"/>
    <x v="0"/>
    <n v="301760"/>
    <x v="89"/>
    <x v="2"/>
    <x v="2"/>
    <x v="9"/>
  </r>
  <r>
    <x v="9"/>
    <x v="0"/>
    <n v="210001"/>
    <x v="36"/>
    <x v="2"/>
    <x v="2"/>
    <x v="9"/>
  </r>
  <r>
    <x v="9"/>
    <x v="3"/>
    <n v="214951"/>
    <x v="78"/>
    <x v="1"/>
    <x v="1"/>
    <x v="9"/>
  </r>
  <r>
    <x v="9"/>
    <x v="0"/>
    <n v="301920"/>
    <x v="91"/>
    <x v="0"/>
    <x v="0"/>
    <x v="9"/>
  </r>
  <r>
    <x v="9"/>
    <x v="0"/>
    <n v="1733"/>
    <x v="37"/>
    <x v="1"/>
    <x v="1"/>
    <x v="9"/>
  </r>
  <r>
    <x v="9"/>
    <x v="0"/>
    <n v="301920"/>
    <x v="91"/>
    <x v="2"/>
    <x v="2"/>
    <x v="9"/>
  </r>
  <r>
    <x v="9"/>
    <x v="0"/>
    <n v="302769"/>
    <x v="49"/>
    <x v="0"/>
    <x v="0"/>
    <x v="9"/>
  </r>
  <r>
    <x v="9"/>
    <x v="1"/>
    <n v="218987"/>
    <x v="8"/>
    <x v="2"/>
    <x v="2"/>
    <x v="9"/>
  </r>
  <r>
    <x v="9"/>
    <x v="3"/>
    <n v="215020"/>
    <x v="72"/>
    <x v="0"/>
    <x v="0"/>
    <x v="9"/>
  </r>
  <r>
    <x v="9"/>
    <x v="0"/>
    <n v="302769"/>
    <x v="49"/>
    <x v="2"/>
    <x v="2"/>
    <x v="9"/>
  </r>
  <r>
    <x v="9"/>
    <x v="0"/>
    <n v="303221"/>
    <x v="38"/>
    <x v="0"/>
    <x v="0"/>
    <x v="9"/>
  </r>
  <r>
    <x v="9"/>
    <x v="4"/>
    <n v="1733"/>
    <x v="37"/>
    <x v="2"/>
    <x v="2"/>
    <x v="9"/>
  </r>
  <r>
    <x v="9"/>
    <x v="0"/>
    <n v="303221"/>
    <x v="38"/>
    <x v="2"/>
    <x v="2"/>
    <x v="9"/>
  </r>
  <r>
    <x v="9"/>
    <x v="0"/>
    <n v="215020"/>
    <x v="72"/>
    <x v="1"/>
    <x v="1"/>
    <x v="9"/>
  </r>
  <r>
    <x v="9"/>
    <x v="0"/>
    <n v="312807"/>
    <x v="21"/>
    <x v="2"/>
    <x v="2"/>
    <x v="9"/>
  </r>
  <r>
    <x v="9"/>
    <x v="0"/>
    <n v="312807"/>
    <x v="21"/>
    <x v="1"/>
    <x v="1"/>
    <x v="9"/>
  </r>
  <r>
    <x v="9"/>
    <x v="0"/>
    <n v="300363"/>
    <x v="11"/>
    <x v="2"/>
    <x v="2"/>
    <x v="9"/>
  </r>
  <r>
    <x v="9"/>
    <x v="0"/>
    <n v="300363"/>
    <x v="11"/>
    <x v="1"/>
    <x v="1"/>
    <x v="9"/>
  </r>
  <r>
    <x v="9"/>
    <x v="0"/>
    <n v="1733"/>
    <x v="37"/>
    <x v="0"/>
    <x v="0"/>
    <x v="9"/>
  </r>
  <r>
    <x v="9"/>
    <x v="0"/>
    <n v="216476"/>
    <x v="94"/>
    <x v="1"/>
    <x v="1"/>
    <x v="9"/>
  </r>
  <r>
    <x v="9"/>
    <x v="0"/>
    <n v="144154"/>
    <x v="93"/>
    <x v="0"/>
    <x v="0"/>
    <x v="9"/>
  </r>
  <r>
    <x v="9"/>
    <x v="0"/>
    <n v="144154"/>
    <x v="93"/>
    <x v="2"/>
    <x v="2"/>
    <x v="9"/>
  </r>
  <r>
    <x v="9"/>
    <x v="0"/>
    <n v="301809"/>
    <x v="95"/>
    <x v="2"/>
    <x v="2"/>
    <x v="9"/>
  </r>
  <r>
    <x v="9"/>
    <x v="0"/>
    <n v="301809"/>
    <x v="95"/>
    <x v="1"/>
    <x v="1"/>
    <x v="9"/>
  </r>
  <r>
    <x v="9"/>
    <x v="0"/>
    <n v="216566"/>
    <x v="96"/>
    <x v="1"/>
    <x v="1"/>
    <x v="9"/>
  </r>
  <r>
    <x v="9"/>
    <x v="0"/>
    <n v="686"/>
    <x v="26"/>
    <x v="1"/>
    <x v="1"/>
    <x v="9"/>
  </r>
  <r>
    <x v="9"/>
    <x v="0"/>
    <n v="303189"/>
    <x v="42"/>
    <x v="0"/>
    <x v="0"/>
    <x v="9"/>
  </r>
  <r>
    <x v="9"/>
    <x v="0"/>
    <n v="303189"/>
    <x v="42"/>
    <x v="2"/>
    <x v="2"/>
    <x v="9"/>
  </r>
  <r>
    <x v="9"/>
    <x v="0"/>
    <n v="303219"/>
    <x v="40"/>
    <x v="0"/>
    <x v="0"/>
    <x v="9"/>
  </r>
  <r>
    <x v="9"/>
    <x v="0"/>
    <n v="303219"/>
    <x v="40"/>
    <x v="2"/>
    <x v="2"/>
    <x v="9"/>
  </r>
  <r>
    <x v="9"/>
    <x v="0"/>
    <n v="217081"/>
    <x v="13"/>
    <x v="1"/>
    <x v="1"/>
    <x v="9"/>
  </r>
  <r>
    <x v="9"/>
    <x v="0"/>
    <n v="317470"/>
    <x v="10"/>
    <x v="2"/>
    <x v="2"/>
    <x v="9"/>
  </r>
  <r>
    <x v="9"/>
    <x v="3"/>
    <n v="507"/>
    <x v="9"/>
    <x v="1"/>
    <x v="1"/>
    <x v="9"/>
  </r>
  <r>
    <x v="9"/>
    <x v="0"/>
    <n v="216566"/>
    <x v="96"/>
    <x v="0"/>
    <x v="0"/>
    <x v="9"/>
  </r>
  <r>
    <x v="9"/>
    <x v="0"/>
    <n v="216566"/>
    <x v="96"/>
    <x v="2"/>
    <x v="2"/>
    <x v="9"/>
  </r>
  <r>
    <x v="9"/>
    <x v="0"/>
    <n v="2737"/>
    <x v="62"/>
    <x v="2"/>
    <x v="2"/>
    <x v="9"/>
  </r>
  <r>
    <x v="9"/>
    <x v="3"/>
    <n v="507"/>
    <x v="9"/>
    <x v="2"/>
    <x v="2"/>
    <x v="9"/>
  </r>
  <r>
    <x v="9"/>
    <x v="0"/>
    <n v="217678"/>
    <x v="104"/>
    <x v="1"/>
    <x v="1"/>
    <x v="9"/>
  </r>
  <r>
    <x v="9"/>
    <x v="0"/>
    <n v="301760"/>
    <x v="89"/>
    <x v="1"/>
    <x v="1"/>
    <x v="9"/>
  </r>
  <r>
    <x v="9"/>
    <x v="0"/>
    <n v="117501"/>
    <x v="84"/>
    <x v="0"/>
    <x v="0"/>
    <x v="9"/>
  </r>
  <r>
    <x v="9"/>
    <x v="0"/>
    <n v="117501"/>
    <x v="84"/>
    <x v="2"/>
    <x v="2"/>
    <x v="9"/>
  </r>
  <r>
    <x v="9"/>
    <x v="0"/>
    <n v="507"/>
    <x v="9"/>
    <x v="0"/>
    <x v="0"/>
    <x v="9"/>
  </r>
  <r>
    <x v="9"/>
    <x v="0"/>
    <n v="117501"/>
    <x v="84"/>
    <x v="1"/>
    <x v="1"/>
    <x v="9"/>
  </r>
  <r>
    <x v="9"/>
    <x v="3"/>
    <n v="218987"/>
    <x v="8"/>
    <x v="0"/>
    <x v="0"/>
    <x v="9"/>
  </r>
  <r>
    <x v="9"/>
    <x v="0"/>
    <n v="218210"/>
    <x v="69"/>
    <x v="0"/>
    <x v="0"/>
    <x v="9"/>
  </r>
  <r>
    <x v="9"/>
    <x v="0"/>
    <n v="130744"/>
    <x v="97"/>
    <x v="2"/>
    <x v="2"/>
    <x v="9"/>
  </r>
  <r>
    <x v="9"/>
    <x v="0"/>
    <n v="204939"/>
    <x v="61"/>
    <x v="0"/>
    <x v="0"/>
    <x v="9"/>
  </r>
  <r>
    <x v="9"/>
    <x v="0"/>
    <n v="204939"/>
    <x v="61"/>
    <x v="2"/>
    <x v="2"/>
    <x v="9"/>
  </r>
  <r>
    <x v="9"/>
    <x v="0"/>
    <n v="301805"/>
    <x v="64"/>
    <x v="0"/>
    <x v="0"/>
    <x v="9"/>
  </r>
  <r>
    <x v="9"/>
    <x v="0"/>
    <n v="301229"/>
    <x v="98"/>
    <x v="2"/>
    <x v="2"/>
    <x v="9"/>
  </r>
  <r>
    <x v="9"/>
    <x v="3"/>
    <n v="218225"/>
    <x v="1"/>
    <x v="1"/>
    <x v="1"/>
    <x v="9"/>
  </r>
  <r>
    <x v="9"/>
    <x v="0"/>
    <n v="301229"/>
    <x v="98"/>
    <x v="1"/>
    <x v="1"/>
    <x v="9"/>
  </r>
  <r>
    <x v="9"/>
    <x v="0"/>
    <n v="302335"/>
    <x v="70"/>
    <x v="2"/>
    <x v="2"/>
    <x v="9"/>
  </r>
  <r>
    <x v="9"/>
    <x v="0"/>
    <n v="140302"/>
    <x v="100"/>
    <x v="0"/>
    <x v="0"/>
    <x v="9"/>
  </r>
  <r>
    <x v="9"/>
    <x v="0"/>
    <n v="301809"/>
    <x v="95"/>
    <x v="0"/>
    <x v="0"/>
    <x v="9"/>
  </r>
  <r>
    <x v="9"/>
    <x v="0"/>
    <n v="140302"/>
    <x v="100"/>
    <x v="2"/>
    <x v="2"/>
    <x v="9"/>
  </r>
  <r>
    <x v="9"/>
    <x v="0"/>
    <n v="218402"/>
    <x v="101"/>
    <x v="1"/>
    <x v="1"/>
    <x v="9"/>
  </r>
  <r>
    <x v="9"/>
    <x v="0"/>
    <n v="218698"/>
    <x v="48"/>
    <x v="0"/>
    <x v="0"/>
    <x v="9"/>
  </r>
  <r>
    <x v="9"/>
    <x v="0"/>
    <n v="218698"/>
    <x v="48"/>
    <x v="2"/>
    <x v="2"/>
    <x v="9"/>
  </r>
  <r>
    <x v="9"/>
    <x v="0"/>
    <n v="301920"/>
    <x v="91"/>
    <x v="1"/>
    <x v="1"/>
    <x v="9"/>
  </r>
  <r>
    <x v="9"/>
    <x v="0"/>
    <n v="218402"/>
    <x v="101"/>
    <x v="0"/>
    <x v="0"/>
    <x v="9"/>
  </r>
  <r>
    <x v="9"/>
    <x v="0"/>
    <n v="218402"/>
    <x v="101"/>
    <x v="2"/>
    <x v="2"/>
    <x v="9"/>
  </r>
  <r>
    <x v="9"/>
    <x v="0"/>
    <n v="218616"/>
    <x v="86"/>
    <x v="1"/>
    <x v="1"/>
    <x v="9"/>
  </r>
  <r>
    <x v="9"/>
    <x v="0"/>
    <n v="315199"/>
    <x v="15"/>
    <x v="0"/>
    <x v="0"/>
    <x v="9"/>
  </r>
  <r>
    <x v="9"/>
    <x v="0"/>
    <n v="315199"/>
    <x v="15"/>
    <x v="2"/>
    <x v="2"/>
    <x v="9"/>
  </r>
  <r>
    <x v="9"/>
    <x v="0"/>
    <n v="301983"/>
    <x v="85"/>
    <x v="0"/>
    <x v="0"/>
    <x v="9"/>
  </r>
  <r>
    <x v="9"/>
    <x v="0"/>
    <n v="301983"/>
    <x v="85"/>
    <x v="2"/>
    <x v="2"/>
    <x v="9"/>
  </r>
  <r>
    <x v="9"/>
    <x v="0"/>
    <n v="302988"/>
    <x v="45"/>
    <x v="0"/>
    <x v="0"/>
    <x v="9"/>
  </r>
  <r>
    <x v="9"/>
    <x v="0"/>
    <n v="302988"/>
    <x v="45"/>
    <x v="2"/>
    <x v="2"/>
    <x v="9"/>
  </r>
  <r>
    <x v="9"/>
    <x v="0"/>
    <n v="218623"/>
    <x v="65"/>
    <x v="0"/>
    <x v="0"/>
    <x v="9"/>
  </r>
  <r>
    <x v="9"/>
    <x v="0"/>
    <n v="301983"/>
    <x v="85"/>
    <x v="1"/>
    <x v="1"/>
    <x v="9"/>
  </r>
  <r>
    <x v="9"/>
    <x v="0"/>
    <n v="205985"/>
    <x v="27"/>
    <x v="2"/>
    <x v="2"/>
    <x v="9"/>
  </r>
  <r>
    <x v="9"/>
    <x v="3"/>
    <n v="218628"/>
    <x v="76"/>
    <x v="0"/>
    <x v="0"/>
    <x v="9"/>
  </r>
  <r>
    <x v="9"/>
    <x v="0"/>
    <n v="218644"/>
    <x v="63"/>
    <x v="2"/>
    <x v="2"/>
    <x v="9"/>
  </r>
  <r>
    <x v="9"/>
    <x v="0"/>
    <n v="144649"/>
    <x v="102"/>
    <x v="0"/>
    <x v="0"/>
    <x v="9"/>
  </r>
  <r>
    <x v="9"/>
    <x v="3"/>
    <n v="302335"/>
    <x v="70"/>
    <x v="0"/>
    <x v="0"/>
    <x v="9"/>
  </r>
  <r>
    <x v="9"/>
    <x v="1"/>
    <n v="324108"/>
    <x v="35"/>
    <x v="1"/>
    <x v="1"/>
    <x v="9"/>
  </r>
  <r>
    <x v="9"/>
    <x v="0"/>
    <n v="144649"/>
    <x v="102"/>
    <x v="2"/>
    <x v="2"/>
    <x v="9"/>
  </r>
  <r>
    <x v="9"/>
    <x v="1"/>
    <n v="324108"/>
    <x v="35"/>
    <x v="2"/>
    <x v="2"/>
    <x v="9"/>
  </r>
  <r>
    <x v="9"/>
    <x v="3"/>
    <n v="218628"/>
    <x v="76"/>
    <x v="1"/>
    <x v="1"/>
    <x v="9"/>
  </r>
  <r>
    <x v="9"/>
    <x v="0"/>
    <n v="169537"/>
    <x v="81"/>
    <x v="0"/>
    <x v="0"/>
    <x v="9"/>
  </r>
  <r>
    <x v="9"/>
    <x v="0"/>
    <n v="302335"/>
    <x v="70"/>
    <x v="1"/>
    <x v="1"/>
    <x v="9"/>
  </r>
  <r>
    <x v="9"/>
    <x v="1"/>
    <n v="324108"/>
    <x v="35"/>
    <x v="0"/>
    <x v="0"/>
    <x v="9"/>
  </r>
  <r>
    <x v="9"/>
    <x v="0"/>
    <n v="169537"/>
    <x v="81"/>
    <x v="2"/>
    <x v="2"/>
    <x v="9"/>
  </r>
  <r>
    <x v="9"/>
    <x v="0"/>
    <n v="321932"/>
    <x v="23"/>
    <x v="0"/>
    <x v="0"/>
    <x v="9"/>
  </r>
  <r>
    <x v="9"/>
    <x v="0"/>
    <n v="204615"/>
    <x v="67"/>
    <x v="0"/>
    <x v="0"/>
    <x v="9"/>
  </r>
  <r>
    <x v="9"/>
    <x v="0"/>
    <n v="218916"/>
    <x v="17"/>
    <x v="1"/>
    <x v="1"/>
    <x v="9"/>
  </r>
  <r>
    <x v="9"/>
    <x v="0"/>
    <n v="302737"/>
    <x v="52"/>
    <x v="0"/>
    <x v="0"/>
    <x v="9"/>
  </r>
  <r>
    <x v="9"/>
    <x v="0"/>
    <n v="317470"/>
    <x v="10"/>
    <x v="1"/>
    <x v="1"/>
    <x v="9"/>
  </r>
  <r>
    <x v="9"/>
    <x v="3"/>
    <n v="218644"/>
    <x v="63"/>
    <x v="0"/>
    <x v="0"/>
    <x v="9"/>
  </r>
  <r>
    <x v="9"/>
    <x v="0"/>
    <n v="317470"/>
    <x v="10"/>
    <x v="0"/>
    <x v="0"/>
    <x v="9"/>
  </r>
  <r>
    <x v="9"/>
    <x v="0"/>
    <n v="204615"/>
    <x v="67"/>
    <x v="2"/>
    <x v="2"/>
    <x v="9"/>
  </r>
  <r>
    <x v="9"/>
    <x v="3"/>
    <n v="302737"/>
    <x v="52"/>
    <x v="1"/>
    <x v="1"/>
    <x v="9"/>
  </r>
  <r>
    <x v="9"/>
    <x v="0"/>
    <n v="216476"/>
    <x v="94"/>
    <x v="0"/>
    <x v="0"/>
    <x v="9"/>
  </r>
  <r>
    <x v="9"/>
    <x v="1"/>
    <n v="316879"/>
    <x v="2"/>
    <x v="0"/>
    <x v="0"/>
    <x v="9"/>
  </r>
  <r>
    <x v="9"/>
    <x v="0"/>
    <n v="216476"/>
    <x v="94"/>
    <x v="2"/>
    <x v="2"/>
    <x v="9"/>
  </r>
  <r>
    <x v="9"/>
    <x v="1"/>
    <n v="218644"/>
    <x v="63"/>
    <x v="1"/>
    <x v="1"/>
    <x v="9"/>
  </r>
  <r>
    <x v="9"/>
    <x v="4"/>
    <n v="302769"/>
    <x v="49"/>
    <x v="1"/>
    <x v="1"/>
    <x v="9"/>
  </r>
  <r>
    <x v="9"/>
    <x v="0"/>
    <n v="316646"/>
    <x v="6"/>
    <x v="1"/>
    <x v="1"/>
    <x v="9"/>
  </r>
  <r>
    <x v="9"/>
    <x v="0"/>
    <n v="149445"/>
    <x v="99"/>
    <x v="0"/>
    <x v="0"/>
    <x v="9"/>
  </r>
  <r>
    <x v="9"/>
    <x v="0"/>
    <n v="316646"/>
    <x v="6"/>
    <x v="0"/>
    <x v="0"/>
    <x v="9"/>
  </r>
  <r>
    <x v="9"/>
    <x v="0"/>
    <n v="149445"/>
    <x v="99"/>
    <x v="2"/>
    <x v="2"/>
    <x v="9"/>
  </r>
  <r>
    <x v="9"/>
    <x v="0"/>
    <n v="302856"/>
    <x v="46"/>
    <x v="0"/>
    <x v="0"/>
    <x v="9"/>
  </r>
  <r>
    <x v="9"/>
    <x v="0"/>
    <n v="314137"/>
    <x v="19"/>
    <x v="2"/>
    <x v="2"/>
    <x v="9"/>
  </r>
  <r>
    <x v="9"/>
    <x v="3"/>
    <n v="315199"/>
    <x v="15"/>
    <x v="1"/>
    <x v="1"/>
    <x v="9"/>
  </r>
  <r>
    <x v="9"/>
    <x v="0"/>
    <n v="314137"/>
    <x v="19"/>
    <x v="1"/>
    <x v="1"/>
    <x v="9"/>
  </r>
  <r>
    <x v="9"/>
    <x v="0"/>
    <n v="314137"/>
    <x v="19"/>
    <x v="0"/>
    <x v="0"/>
    <x v="9"/>
  </r>
  <r>
    <x v="9"/>
    <x v="5"/>
    <n v="218674"/>
    <x v="57"/>
    <x v="1"/>
    <x v="1"/>
    <x v="9"/>
  </r>
  <r>
    <x v="9"/>
    <x v="3"/>
    <n v="302988"/>
    <x v="45"/>
    <x v="1"/>
    <x v="1"/>
    <x v="9"/>
  </r>
  <r>
    <x v="9"/>
    <x v="0"/>
    <n v="206236"/>
    <x v="22"/>
    <x v="0"/>
    <x v="0"/>
    <x v="9"/>
  </r>
  <r>
    <x v="9"/>
    <x v="0"/>
    <n v="312807"/>
    <x v="21"/>
    <x v="0"/>
    <x v="0"/>
    <x v="9"/>
  </r>
  <r>
    <x v="9"/>
    <x v="0"/>
    <n v="206236"/>
    <x v="22"/>
    <x v="2"/>
    <x v="2"/>
    <x v="9"/>
  </r>
  <r>
    <x v="9"/>
    <x v="0"/>
    <n v="209209"/>
    <x v="32"/>
    <x v="0"/>
    <x v="0"/>
    <x v="9"/>
  </r>
  <r>
    <x v="9"/>
    <x v="0"/>
    <n v="303189"/>
    <x v="42"/>
    <x v="1"/>
    <x v="1"/>
    <x v="9"/>
  </r>
  <r>
    <x v="9"/>
    <x v="0"/>
    <n v="312617"/>
    <x v="24"/>
    <x v="1"/>
    <x v="1"/>
    <x v="9"/>
  </r>
  <r>
    <x v="9"/>
    <x v="0"/>
    <n v="209209"/>
    <x v="32"/>
    <x v="2"/>
    <x v="2"/>
    <x v="9"/>
  </r>
  <r>
    <x v="9"/>
    <x v="0"/>
    <n v="312617"/>
    <x v="24"/>
    <x v="0"/>
    <x v="0"/>
    <x v="9"/>
  </r>
  <r>
    <x v="9"/>
    <x v="0"/>
    <n v="218698"/>
    <x v="48"/>
    <x v="1"/>
    <x v="1"/>
    <x v="9"/>
  </r>
  <r>
    <x v="9"/>
    <x v="3"/>
    <n v="303219"/>
    <x v="40"/>
    <x v="1"/>
    <x v="1"/>
    <x v="9"/>
  </r>
  <r>
    <x v="9"/>
    <x v="0"/>
    <n v="217081"/>
    <x v="13"/>
    <x v="0"/>
    <x v="0"/>
    <x v="9"/>
  </r>
  <r>
    <x v="9"/>
    <x v="0"/>
    <n v="312259"/>
    <x v="28"/>
    <x v="1"/>
    <x v="1"/>
    <x v="9"/>
  </r>
  <r>
    <x v="9"/>
    <x v="0"/>
    <n v="217081"/>
    <x v="13"/>
    <x v="2"/>
    <x v="2"/>
    <x v="9"/>
  </r>
  <r>
    <x v="9"/>
    <x v="0"/>
    <n v="312259"/>
    <x v="28"/>
    <x v="0"/>
    <x v="0"/>
    <x v="9"/>
  </r>
  <r>
    <x v="9"/>
    <x v="0"/>
    <n v="218916"/>
    <x v="17"/>
    <x v="0"/>
    <x v="0"/>
    <x v="9"/>
  </r>
  <r>
    <x v="9"/>
    <x v="3"/>
    <n v="303221"/>
    <x v="38"/>
    <x v="1"/>
    <x v="1"/>
    <x v="9"/>
  </r>
  <r>
    <x v="9"/>
    <x v="0"/>
    <n v="218916"/>
    <x v="17"/>
    <x v="2"/>
    <x v="2"/>
    <x v="9"/>
  </r>
  <r>
    <x v="9"/>
    <x v="0"/>
    <n v="311895"/>
    <x v="34"/>
    <x v="1"/>
    <x v="1"/>
    <x v="9"/>
  </r>
  <r>
    <x v="10"/>
    <x v="0"/>
    <n v="117456"/>
    <x v="80"/>
    <x v="1"/>
    <x v="1"/>
    <x v="10"/>
  </r>
  <r>
    <x v="10"/>
    <x v="0"/>
    <n v="300169"/>
    <x v="5"/>
    <x v="1"/>
    <x v="1"/>
    <x v="10"/>
  </r>
  <r>
    <x v="10"/>
    <x v="0"/>
    <n v="316646"/>
    <x v="6"/>
    <x v="2"/>
    <x v="2"/>
    <x v="10"/>
  </r>
  <r>
    <x v="10"/>
    <x v="0"/>
    <n v="300169"/>
    <x v="5"/>
    <x v="2"/>
    <x v="2"/>
    <x v="10"/>
  </r>
  <r>
    <x v="10"/>
    <x v="0"/>
    <n v="311895"/>
    <x v="34"/>
    <x v="1"/>
    <x v="1"/>
    <x v="10"/>
  </r>
  <r>
    <x v="10"/>
    <x v="0"/>
    <n v="210557"/>
    <x v="47"/>
    <x v="2"/>
    <x v="2"/>
    <x v="10"/>
  </r>
  <r>
    <x v="10"/>
    <x v="0"/>
    <n v="210557"/>
    <x v="47"/>
    <x v="0"/>
    <x v="0"/>
    <x v="10"/>
  </r>
  <r>
    <x v="10"/>
    <x v="0"/>
    <n v="117230"/>
    <x v="73"/>
    <x v="2"/>
    <x v="2"/>
    <x v="10"/>
  </r>
  <r>
    <x v="10"/>
    <x v="3"/>
    <n v="303221"/>
    <x v="38"/>
    <x v="1"/>
    <x v="1"/>
    <x v="10"/>
  </r>
  <r>
    <x v="10"/>
    <x v="0"/>
    <n v="117230"/>
    <x v="73"/>
    <x v="0"/>
    <x v="0"/>
    <x v="10"/>
  </r>
  <r>
    <x v="10"/>
    <x v="0"/>
    <n v="312259"/>
    <x v="28"/>
    <x v="0"/>
    <x v="0"/>
    <x v="10"/>
  </r>
  <r>
    <x v="10"/>
    <x v="0"/>
    <n v="205349"/>
    <x v="39"/>
    <x v="2"/>
    <x v="2"/>
    <x v="10"/>
  </r>
  <r>
    <x v="10"/>
    <x v="0"/>
    <n v="205349"/>
    <x v="39"/>
    <x v="0"/>
    <x v="0"/>
    <x v="10"/>
  </r>
  <r>
    <x v="10"/>
    <x v="0"/>
    <n v="161520"/>
    <x v="77"/>
    <x v="2"/>
    <x v="2"/>
    <x v="10"/>
  </r>
  <r>
    <x v="10"/>
    <x v="0"/>
    <n v="161520"/>
    <x v="77"/>
    <x v="0"/>
    <x v="0"/>
    <x v="10"/>
  </r>
  <r>
    <x v="10"/>
    <x v="0"/>
    <n v="312259"/>
    <x v="28"/>
    <x v="1"/>
    <x v="1"/>
    <x v="10"/>
  </r>
  <r>
    <x v="10"/>
    <x v="0"/>
    <n v="117456"/>
    <x v="80"/>
    <x v="2"/>
    <x v="2"/>
    <x v="10"/>
  </r>
  <r>
    <x v="10"/>
    <x v="0"/>
    <n v="117456"/>
    <x v="80"/>
    <x v="0"/>
    <x v="0"/>
    <x v="10"/>
  </r>
  <r>
    <x v="10"/>
    <x v="3"/>
    <n v="303219"/>
    <x v="40"/>
    <x v="1"/>
    <x v="1"/>
    <x v="10"/>
  </r>
  <r>
    <x v="10"/>
    <x v="0"/>
    <n v="218628"/>
    <x v="76"/>
    <x v="2"/>
    <x v="2"/>
    <x v="10"/>
  </r>
  <r>
    <x v="10"/>
    <x v="0"/>
    <n v="312617"/>
    <x v="24"/>
    <x v="0"/>
    <x v="0"/>
    <x v="10"/>
  </r>
  <r>
    <x v="10"/>
    <x v="0"/>
    <n v="168458"/>
    <x v="75"/>
    <x v="2"/>
    <x v="2"/>
    <x v="10"/>
  </r>
  <r>
    <x v="10"/>
    <x v="0"/>
    <n v="168458"/>
    <x v="75"/>
    <x v="0"/>
    <x v="0"/>
    <x v="10"/>
  </r>
  <r>
    <x v="10"/>
    <x v="0"/>
    <n v="218225"/>
    <x v="1"/>
    <x v="2"/>
    <x v="2"/>
    <x v="10"/>
  </r>
  <r>
    <x v="10"/>
    <x v="0"/>
    <n v="218225"/>
    <x v="1"/>
    <x v="0"/>
    <x v="0"/>
    <x v="10"/>
  </r>
  <r>
    <x v="10"/>
    <x v="0"/>
    <n v="303189"/>
    <x v="42"/>
    <x v="1"/>
    <x v="1"/>
    <x v="10"/>
  </r>
  <r>
    <x v="10"/>
    <x v="0"/>
    <n v="312617"/>
    <x v="24"/>
    <x v="1"/>
    <x v="1"/>
    <x v="10"/>
  </r>
  <r>
    <x v="10"/>
    <x v="0"/>
    <n v="215020"/>
    <x v="72"/>
    <x v="2"/>
    <x v="2"/>
    <x v="10"/>
  </r>
  <r>
    <x v="10"/>
    <x v="0"/>
    <n v="131643"/>
    <x v="0"/>
    <x v="2"/>
    <x v="2"/>
    <x v="10"/>
  </r>
  <r>
    <x v="10"/>
    <x v="0"/>
    <n v="131643"/>
    <x v="0"/>
    <x v="0"/>
    <x v="0"/>
    <x v="10"/>
  </r>
  <r>
    <x v="10"/>
    <x v="0"/>
    <n v="300571"/>
    <x v="18"/>
    <x v="2"/>
    <x v="2"/>
    <x v="10"/>
  </r>
  <r>
    <x v="10"/>
    <x v="0"/>
    <n v="207743"/>
    <x v="20"/>
    <x v="2"/>
    <x v="2"/>
    <x v="10"/>
  </r>
  <r>
    <x v="10"/>
    <x v="0"/>
    <n v="312807"/>
    <x v="21"/>
    <x v="0"/>
    <x v="0"/>
    <x v="10"/>
  </r>
  <r>
    <x v="10"/>
    <x v="0"/>
    <n v="206708"/>
    <x v="7"/>
    <x v="2"/>
    <x v="2"/>
    <x v="10"/>
  </r>
  <r>
    <x v="10"/>
    <x v="0"/>
    <n v="218210"/>
    <x v="69"/>
    <x v="1"/>
    <x v="1"/>
    <x v="10"/>
  </r>
  <r>
    <x v="10"/>
    <x v="3"/>
    <n v="302988"/>
    <x v="45"/>
    <x v="1"/>
    <x v="1"/>
    <x v="10"/>
  </r>
  <r>
    <x v="10"/>
    <x v="0"/>
    <n v="218210"/>
    <x v="69"/>
    <x v="2"/>
    <x v="2"/>
    <x v="10"/>
  </r>
  <r>
    <x v="10"/>
    <x v="0"/>
    <n v="314137"/>
    <x v="19"/>
    <x v="0"/>
    <x v="0"/>
    <x v="10"/>
  </r>
  <r>
    <x v="10"/>
    <x v="0"/>
    <n v="302737"/>
    <x v="52"/>
    <x v="2"/>
    <x v="2"/>
    <x v="10"/>
  </r>
  <r>
    <x v="10"/>
    <x v="0"/>
    <n v="300862"/>
    <x v="66"/>
    <x v="2"/>
    <x v="2"/>
    <x v="10"/>
  </r>
  <r>
    <x v="10"/>
    <x v="0"/>
    <n v="300862"/>
    <x v="66"/>
    <x v="0"/>
    <x v="0"/>
    <x v="10"/>
  </r>
  <r>
    <x v="10"/>
    <x v="0"/>
    <n v="206348"/>
    <x v="4"/>
    <x v="2"/>
    <x v="2"/>
    <x v="10"/>
  </r>
  <r>
    <x v="10"/>
    <x v="0"/>
    <n v="117442"/>
    <x v="68"/>
    <x v="2"/>
    <x v="2"/>
    <x v="10"/>
  </r>
  <r>
    <x v="10"/>
    <x v="3"/>
    <n v="315199"/>
    <x v="15"/>
    <x v="1"/>
    <x v="1"/>
    <x v="10"/>
  </r>
  <r>
    <x v="10"/>
    <x v="0"/>
    <n v="117442"/>
    <x v="68"/>
    <x v="0"/>
    <x v="0"/>
    <x v="10"/>
  </r>
  <r>
    <x v="10"/>
    <x v="0"/>
    <n v="301805"/>
    <x v="64"/>
    <x v="1"/>
    <x v="1"/>
    <x v="10"/>
  </r>
  <r>
    <x v="10"/>
    <x v="0"/>
    <n v="301805"/>
    <x v="64"/>
    <x v="2"/>
    <x v="2"/>
    <x v="10"/>
  </r>
  <r>
    <x v="10"/>
    <x v="0"/>
    <n v="302856"/>
    <x v="46"/>
    <x v="0"/>
    <x v="0"/>
    <x v="10"/>
  </r>
  <r>
    <x v="10"/>
    <x v="0"/>
    <n v="218623"/>
    <x v="65"/>
    <x v="1"/>
    <x v="1"/>
    <x v="10"/>
  </r>
  <r>
    <x v="10"/>
    <x v="0"/>
    <n v="316646"/>
    <x v="6"/>
    <x v="0"/>
    <x v="0"/>
    <x v="10"/>
  </r>
  <r>
    <x v="10"/>
    <x v="0"/>
    <n v="218623"/>
    <x v="65"/>
    <x v="2"/>
    <x v="2"/>
    <x v="10"/>
  </r>
  <r>
    <x v="10"/>
    <x v="0"/>
    <n v="218623"/>
    <x v="65"/>
    <x v="0"/>
    <x v="0"/>
    <x v="10"/>
  </r>
  <r>
    <x v="10"/>
    <x v="0"/>
    <n v="211415"/>
    <x v="50"/>
    <x v="2"/>
    <x v="2"/>
    <x v="10"/>
  </r>
  <r>
    <x v="10"/>
    <x v="4"/>
    <n v="302769"/>
    <x v="49"/>
    <x v="1"/>
    <x v="1"/>
    <x v="10"/>
  </r>
  <r>
    <x v="10"/>
    <x v="0"/>
    <n v="316646"/>
    <x v="6"/>
    <x v="1"/>
    <x v="1"/>
    <x v="10"/>
  </r>
  <r>
    <x v="10"/>
    <x v="0"/>
    <n v="211415"/>
    <x v="50"/>
    <x v="0"/>
    <x v="0"/>
    <x v="10"/>
  </r>
  <r>
    <x v="10"/>
    <x v="0"/>
    <n v="158311"/>
    <x v="60"/>
    <x v="2"/>
    <x v="2"/>
    <x v="10"/>
  </r>
  <r>
    <x v="10"/>
    <x v="0"/>
    <n v="158311"/>
    <x v="60"/>
    <x v="0"/>
    <x v="0"/>
    <x v="10"/>
  </r>
  <r>
    <x v="10"/>
    <x v="0"/>
    <n v="300987"/>
    <x v="59"/>
    <x v="2"/>
    <x v="2"/>
    <x v="10"/>
  </r>
  <r>
    <x v="10"/>
    <x v="1"/>
    <n v="316879"/>
    <x v="2"/>
    <x v="0"/>
    <x v="0"/>
    <x v="10"/>
  </r>
  <r>
    <x v="10"/>
    <x v="0"/>
    <n v="300987"/>
    <x v="59"/>
    <x v="0"/>
    <x v="0"/>
    <x v="10"/>
  </r>
  <r>
    <x v="10"/>
    <x v="0"/>
    <n v="300219"/>
    <x v="3"/>
    <x v="2"/>
    <x v="2"/>
    <x v="10"/>
  </r>
  <r>
    <x v="10"/>
    <x v="3"/>
    <n v="302737"/>
    <x v="52"/>
    <x v="1"/>
    <x v="1"/>
    <x v="10"/>
  </r>
  <r>
    <x v="10"/>
    <x v="0"/>
    <n v="213849"/>
    <x v="58"/>
    <x v="2"/>
    <x v="2"/>
    <x v="10"/>
  </r>
  <r>
    <x v="10"/>
    <x v="0"/>
    <n v="317470"/>
    <x v="10"/>
    <x v="0"/>
    <x v="0"/>
    <x v="10"/>
  </r>
  <r>
    <x v="10"/>
    <x v="0"/>
    <n v="213849"/>
    <x v="58"/>
    <x v="0"/>
    <x v="0"/>
    <x v="10"/>
  </r>
  <r>
    <x v="10"/>
    <x v="0"/>
    <n v="206298"/>
    <x v="14"/>
    <x v="2"/>
    <x v="2"/>
    <x v="10"/>
  </r>
  <r>
    <x v="10"/>
    <x v="0"/>
    <n v="206298"/>
    <x v="14"/>
    <x v="0"/>
    <x v="0"/>
    <x v="10"/>
  </r>
  <r>
    <x v="10"/>
    <x v="0"/>
    <n v="302737"/>
    <x v="52"/>
    <x v="0"/>
    <x v="0"/>
    <x v="10"/>
  </r>
  <r>
    <x v="10"/>
    <x v="0"/>
    <n v="317470"/>
    <x v="10"/>
    <x v="1"/>
    <x v="1"/>
    <x v="10"/>
  </r>
  <r>
    <x v="10"/>
    <x v="0"/>
    <n v="205228"/>
    <x v="44"/>
    <x v="2"/>
    <x v="2"/>
    <x v="10"/>
  </r>
  <r>
    <x v="10"/>
    <x v="0"/>
    <n v="205228"/>
    <x v="44"/>
    <x v="0"/>
    <x v="0"/>
    <x v="10"/>
  </r>
  <r>
    <x v="10"/>
    <x v="0"/>
    <n v="160030"/>
    <x v="55"/>
    <x v="2"/>
    <x v="2"/>
    <x v="10"/>
  </r>
  <r>
    <x v="10"/>
    <x v="0"/>
    <n v="160030"/>
    <x v="55"/>
    <x v="0"/>
    <x v="0"/>
    <x v="10"/>
  </r>
  <r>
    <x v="10"/>
    <x v="0"/>
    <n v="321932"/>
    <x v="23"/>
    <x v="0"/>
    <x v="0"/>
    <x v="10"/>
  </r>
  <r>
    <x v="10"/>
    <x v="0"/>
    <n v="158751"/>
    <x v="54"/>
    <x v="2"/>
    <x v="2"/>
    <x v="10"/>
  </r>
  <r>
    <x v="10"/>
    <x v="0"/>
    <n v="158751"/>
    <x v="54"/>
    <x v="0"/>
    <x v="0"/>
    <x v="10"/>
  </r>
  <r>
    <x v="10"/>
    <x v="0"/>
    <n v="217678"/>
    <x v="104"/>
    <x v="2"/>
    <x v="2"/>
    <x v="10"/>
  </r>
  <r>
    <x v="10"/>
    <x v="0"/>
    <n v="217678"/>
    <x v="104"/>
    <x v="0"/>
    <x v="0"/>
    <x v="10"/>
  </r>
  <r>
    <x v="10"/>
    <x v="0"/>
    <n v="302335"/>
    <x v="70"/>
    <x v="1"/>
    <x v="1"/>
    <x v="10"/>
  </r>
  <r>
    <x v="10"/>
    <x v="1"/>
    <n v="324108"/>
    <x v="35"/>
    <x v="0"/>
    <x v="0"/>
    <x v="10"/>
  </r>
  <r>
    <x v="10"/>
    <x v="0"/>
    <n v="210515"/>
    <x v="43"/>
    <x v="2"/>
    <x v="2"/>
    <x v="10"/>
  </r>
  <r>
    <x v="10"/>
    <x v="0"/>
    <n v="207404"/>
    <x v="16"/>
    <x v="2"/>
    <x v="2"/>
    <x v="10"/>
  </r>
  <r>
    <x v="10"/>
    <x v="0"/>
    <n v="207404"/>
    <x v="16"/>
    <x v="0"/>
    <x v="0"/>
    <x v="10"/>
  </r>
  <r>
    <x v="10"/>
    <x v="0"/>
    <n v="203631"/>
    <x v="71"/>
    <x v="2"/>
    <x v="2"/>
    <x v="10"/>
  </r>
  <r>
    <x v="10"/>
    <x v="1"/>
    <n v="324108"/>
    <x v="35"/>
    <x v="2"/>
    <x v="2"/>
    <x v="10"/>
  </r>
  <r>
    <x v="10"/>
    <x v="0"/>
    <n v="203631"/>
    <x v="71"/>
    <x v="0"/>
    <x v="0"/>
    <x v="10"/>
  </r>
  <r>
    <x v="10"/>
    <x v="0"/>
    <n v="321932"/>
    <x v="23"/>
    <x v="1"/>
    <x v="1"/>
    <x v="10"/>
  </r>
  <r>
    <x v="10"/>
    <x v="0"/>
    <n v="321932"/>
    <x v="23"/>
    <x v="2"/>
    <x v="2"/>
    <x v="10"/>
  </r>
  <r>
    <x v="10"/>
    <x v="3"/>
    <n v="302335"/>
    <x v="70"/>
    <x v="0"/>
    <x v="0"/>
    <x v="10"/>
  </r>
  <r>
    <x v="10"/>
    <x v="1"/>
    <n v="324108"/>
    <x v="35"/>
    <x v="1"/>
    <x v="1"/>
    <x v="10"/>
  </r>
  <r>
    <x v="10"/>
    <x v="0"/>
    <n v="218732"/>
    <x v="29"/>
    <x v="2"/>
    <x v="2"/>
    <x v="10"/>
  </r>
  <r>
    <x v="10"/>
    <x v="0"/>
    <n v="218732"/>
    <x v="29"/>
    <x v="0"/>
    <x v="0"/>
    <x v="10"/>
  </r>
  <r>
    <x v="10"/>
    <x v="0"/>
    <n v="206968"/>
    <x v="12"/>
    <x v="1"/>
    <x v="1"/>
    <x v="10"/>
  </r>
  <r>
    <x v="10"/>
    <x v="0"/>
    <n v="301983"/>
    <x v="85"/>
    <x v="1"/>
    <x v="1"/>
    <x v="10"/>
  </r>
  <r>
    <x v="10"/>
    <x v="0"/>
    <n v="206968"/>
    <x v="12"/>
    <x v="2"/>
    <x v="2"/>
    <x v="10"/>
  </r>
  <r>
    <x v="10"/>
    <x v="0"/>
    <n v="161003"/>
    <x v="88"/>
    <x v="2"/>
    <x v="2"/>
    <x v="10"/>
  </r>
  <r>
    <x v="10"/>
    <x v="0"/>
    <n v="301983"/>
    <x v="85"/>
    <x v="0"/>
    <x v="0"/>
    <x v="10"/>
  </r>
  <r>
    <x v="10"/>
    <x v="0"/>
    <n v="161003"/>
    <x v="88"/>
    <x v="0"/>
    <x v="0"/>
    <x v="10"/>
  </r>
  <r>
    <x v="10"/>
    <x v="0"/>
    <n v="117866"/>
    <x v="87"/>
    <x v="2"/>
    <x v="2"/>
    <x v="10"/>
  </r>
  <r>
    <x v="10"/>
    <x v="0"/>
    <n v="117866"/>
    <x v="87"/>
    <x v="0"/>
    <x v="0"/>
    <x v="10"/>
  </r>
  <r>
    <x v="10"/>
    <x v="0"/>
    <n v="301920"/>
    <x v="91"/>
    <x v="1"/>
    <x v="1"/>
    <x v="10"/>
  </r>
  <r>
    <x v="10"/>
    <x v="0"/>
    <n v="312259"/>
    <x v="28"/>
    <x v="2"/>
    <x v="2"/>
    <x v="10"/>
  </r>
  <r>
    <x v="10"/>
    <x v="0"/>
    <n v="218674"/>
    <x v="57"/>
    <x v="2"/>
    <x v="2"/>
    <x v="10"/>
  </r>
  <r>
    <x v="10"/>
    <x v="0"/>
    <n v="301809"/>
    <x v="95"/>
    <x v="0"/>
    <x v="0"/>
    <x v="10"/>
  </r>
  <r>
    <x v="10"/>
    <x v="0"/>
    <n v="218674"/>
    <x v="57"/>
    <x v="0"/>
    <x v="0"/>
    <x v="10"/>
  </r>
  <r>
    <x v="10"/>
    <x v="0"/>
    <n v="210127"/>
    <x v="41"/>
    <x v="2"/>
    <x v="2"/>
    <x v="10"/>
  </r>
  <r>
    <x v="10"/>
    <x v="0"/>
    <n v="210127"/>
    <x v="41"/>
    <x v="0"/>
    <x v="0"/>
    <x v="10"/>
  </r>
  <r>
    <x v="10"/>
    <x v="0"/>
    <n v="301805"/>
    <x v="64"/>
    <x v="0"/>
    <x v="0"/>
    <x v="10"/>
  </r>
  <r>
    <x v="10"/>
    <x v="0"/>
    <n v="205104"/>
    <x v="51"/>
    <x v="2"/>
    <x v="2"/>
    <x v="10"/>
  </r>
  <r>
    <x v="10"/>
    <x v="0"/>
    <n v="205104"/>
    <x v="51"/>
    <x v="0"/>
    <x v="0"/>
    <x v="10"/>
  </r>
  <r>
    <x v="10"/>
    <x v="0"/>
    <n v="214951"/>
    <x v="78"/>
    <x v="2"/>
    <x v="2"/>
    <x v="10"/>
  </r>
  <r>
    <x v="10"/>
    <x v="0"/>
    <n v="301760"/>
    <x v="89"/>
    <x v="1"/>
    <x v="1"/>
    <x v="10"/>
  </r>
  <r>
    <x v="10"/>
    <x v="0"/>
    <n v="507"/>
    <x v="9"/>
    <x v="0"/>
    <x v="0"/>
    <x v="10"/>
  </r>
  <r>
    <x v="10"/>
    <x v="0"/>
    <n v="214951"/>
    <x v="78"/>
    <x v="0"/>
    <x v="0"/>
    <x v="10"/>
  </r>
  <r>
    <x v="10"/>
    <x v="3"/>
    <n v="507"/>
    <x v="9"/>
    <x v="2"/>
    <x v="2"/>
    <x v="10"/>
  </r>
  <r>
    <x v="10"/>
    <x v="3"/>
    <n v="507"/>
    <x v="9"/>
    <x v="1"/>
    <x v="1"/>
    <x v="10"/>
  </r>
  <r>
    <x v="10"/>
    <x v="0"/>
    <n v="204952"/>
    <x v="56"/>
    <x v="2"/>
    <x v="2"/>
    <x v="10"/>
  </r>
  <r>
    <x v="10"/>
    <x v="0"/>
    <n v="204952"/>
    <x v="56"/>
    <x v="0"/>
    <x v="0"/>
    <x v="10"/>
  </r>
  <r>
    <x v="10"/>
    <x v="0"/>
    <n v="218916"/>
    <x v="17"/>
    <x v="2"/>
    <x v="2"/>
    <x v="10"/>
  </r>
  <r>
    <x v="10"/>
    <x v="0"/>
    <n v="218916"/>
    <x v="17"/>
    <x v="0"/>
    <x v="0"/>
    <x v="10"/>
  </r>
  <r>
    <x v="10"/>
    <x v="0"/>
    <n v="686"/>
    <x v="26"/>
    <x v="1"/>
    <x v="1"/>
    <x v="10"/>
  </r>
  <r>
    <x v="10"/>
    <x v="0"/>
    <n v="217081"/>
    <x v="13"/>
    <x v="2"/>
    <x v="2"/>
    <x v="10"/>
  </r>
  <r>
    <x v="10"/>
    <x v="0"/>
    <n v="217081"/>
    <x v="13"/>
    <x v="0"/>
    <x v="0"/>
    <x v="10"/>
  </r>
  <r>
    <x v="10"/>
    <x v="0"/>
    <n v="209209"/>
    <x v="32"/>
    <x v="2"/>
    <x v="2"/>
    <x v="10"/>
  </r>
  <r>
    <x v="10"/>
    <x v="0"/>
    <n v="209209"/>
    <x v="32"/>
    <x v="0"/>
    <x v="0"/>
    <x v="10"/>
  </r>
  <r>
    <x v="10"/>
    <x v="0"/>
    <n v="1733"/>
    <x v="37"/>
    <x v="0"/>
    <x v="0"/>
    <x v="10"/>
  </r>
  <r>
    <x v="10"/>
    <x v="0"/>
    <n v="206236"/>
    <x v="22"/>
    <x v="2"/>
    <x v="2"/>
    <x v="10"/>
  </r>
  <r>
    <x v="10"/>
    <x v="0"/>
    <n v="206236"/>
    <x v="22"/>
    <x v="0"/>
    <x v="0"/>
    <x v="10"/>
  </r>
  <r>
    <x v="10"/>
    <x v="0"/>
    <n v="314137"/>
    <x v="19"/>
    <x v="1"/>
    <x v="1"/>
    <x v="10"/>
  </r>
  <r>
    <x v="10"/>
    <x v="0"/>
    <n v="314137"/>
    <x v="19"/>
    <x v="2"/>
    <x v="2"/>
    <x v="10"/>
  </r>
  <r>
    <x v="10"/>
    <x v="4"/>
    <n v="1733"/>
    <x v="37"/>
    <x v="2"/>
    <x v="2"/>
    <x v="10"/>
  </r>
  <r>
    <x v="10"/>
    <x v="0"/>
    <n v="149445"/>
    <x v="99"/>
    <x v="2"/>
    <x v="2"/>
    <x v="10"/>
  </r>
  <r>
    <x v="10"/>
    <x v="0"/>
    <n v="149445"/>
    <x v="99"/>
    <x v="0"/>
    <x v="0"/>
    <x v="10"/>
  </r>
  <r>
    <x v="10"/>
    <x v="0"/>
    <n v="216476"/>
    <x v="94"/>
    <x v="2"/>
    <x v="2"/>
    <x v="10"/>
  </r>
  <r>
    <x v="10"/>
    <x v="0"/>
    <n v="301760"/>
    <x v="89"/>
    <x v="0"/>
    <x v="0"/>
    <x v="10"/>
  </r>
  <r>
    <x v="10"/>
    <x v="0"/>
    <n v="1733"/>
    <x v="37"/>
    <x v="1"/>
    <x v="1"/>
    <x v="10"/>
  </r>
  <r>
    <x v="10"/>
    <x v="0"/>
    <n v="216476"/>
    <x v="94"/>
    <x v="0"/>
    <x v="0"/>
    <x v="10"/>
  </r>
  <r>
    <x v="10"/>
    <x v="0"/>
    <n v="204615"/>
    <x v="67"/>
    <x v="2"/>
    <x v="2"/>
    <x v="10"/>
  </r>
  <r>
    <x v="10"/>
    <x v="0"/>
    <n v="204615"/>
    <x v="67"/>
    <x v="0"/>
    <x v="0"/>
    <x v="10"/>
  </r>
  <r>
    <x v="10"/>
    <x v="0"/>
    <n v="2737"/>
    <x v="62"/>
    <x v="0"/>
    <x v="0"/>
    <x v="10"/>
  </r>
  <r>
    <x v="10"/>
    <x v="0"/>
    <n v="169537"/>
    <x v="81"/>
    <x v="2"/>
    <x v="2"/>
    <x v="10"/>
  </r>
  <r>
    <x v="10"/>
    <x v="0"/>
    <n v="169537"/>
    <x v="81"/>
    <x v="0"/>
    <x v="0"/>
    <x v="10"/>
  </r>
  <r>
    <x v="10"/>
    <x v="0"/>
    <n v="144649"/>
    <x v="102"/>
    <x v="2"/>
    <x v="2"/>
    <x v="10"/>
  </r>
  <r>
    <x v="10"/>
    <x v="0"/>
    <n v="2737"/>
    <x v="62"/>
    <x v="1"/>
    <x v="1"/>
    <x v="10"/>
  </r>
  <r>
    <x v="10"/>
    <x v="0"/>
    <n v="144649"/>
    <x v="102"/>
    <x v="0"/>
    <x v="0"/>
    <x v="10"/>
  </r>
  <r>
    <x v="10"/>
    <x v="0"/>
    <n v="218644"/>
    <x v="63"/>
    <x v="2"/>
    <x v="2"/>
    <x v="10"/>
  </r>
  <r>
    <x v="10"/>
    <x v="0"/>
    <n v="205985"/>
    <x v="27"/>
    <x v="2"/>
    <x v="2"/>
    <x v="10"/>
  </r>
  <r>
    <x v="10"/>
    <x v="0"/>
    <n v="302988"/>
    <x v="45"/>
    <x v="2"/>
    <x v="2"/>
    <x v="10"/>
  </r>
  <r>
    <x v="10"/>
    <x v="0"/>
    <n v="117230"/>
    <x v="73"/>
    <x v="1"/>
    <x v="1"/>
    <x v="10"/>
  </r>
  <r>
    <x v="10"/>
    <x v="0"/>
    <n v="302988"/>
    <x v="45"/>
    <x v="0"/>
    <x v="0"/>
    <x v="10"/>
  </r>
  <r>
    <x v="10"/>
    <x v="0"/>
    <n v="301983"/>
    <x v="85"/>
    <x v="2"/>
    <x v="2"/>
    <x v="10"/>
  </r>
  <r>
    <x v="10"/>
    <x v="0"/>
    <n v="315199"/>
    <x v="15"/>
    <x v="2"/>
    <x v="2"/>
    <x v="10"/>
  </r>
  <r>
    <x v="10"/>
    <x v="0"/>
    <n v="117442"/>
    <x v="68"/>
    <x v="1"/>
    <x v="1"/>
    <x v="10"/>
  </r>
  <r>
    <x v="10"/>
    <x v="0"/>
    <n v="315199"/>
    <x v="15"/>
    <x v="0"/>
    <x v="0"/>
    <x v="10"/>
  </r>
  <r>
    <x v="10"/>
    <x v="0"/>
    <n v="218402"/>
    <x v="101"/>
    <x v="2"/>
    <x v="2"/>
    <x v="10"/>
  </r>
  <r>
    <x v="10"/>
    <x v="0"/>
    <n v="301229"/>
    <x v="98"/>
    <x v="0"/>
    <x v="0"/>
    <x v="10"/>
  </r>
  <r>
    <x v="10"/>
    <x v="0"/>
    <n v="218402"/>
    <x v="101"/>
    <x v="0"/>
    <x v="0"/>
    <x v="10"/>
  </r>
  <r>
    <x v="10"/>
    <x v="0"/>
    <n v="218698"/>
    <x v="48"/>
    <x v="2"/>
    <x v="2"/>
    <x v="10"/>
  </r>
  <r>
    <x v="10"/>
    <x v="0"/>
    <n v="218698"/>
    <x v="48"/>
    <x v="0"/>
    <x v="0"/>
    <x v="10"/>
  </r>
  <r>
    <x v="10"/>
    <x v="3"/>
    <n v="117819"/>
    <x v="83"/>
    <x v="1"/>
    <x v="1"/>
    <x v="10"/>
  </r>
  <r>
    <x v="10"/>
    <x v="0"/>
    <n v="140302"/>
    <x v="100"/>
    <x v="2"/>
    <x v="2"/>
    <x v="10"/>
  </r>
  <r>
    <x v="10"/>
    <x v="0"/>
    <n v="140302"/>
    <x v="100"/>
    <x v="0"/>
    <x v="0"/>
    <x v="10"/>
  </r>
  <r>
    <x v="10"/>
    <x v="0"/>
    <n v="302335"/>
    <x v="70"/>
    <x v="2"/>
    <x v="2"/>
    <x v="10"/>
  </r>
  <r>
    <x v="10"/>
    <x v="3"/>
    <n v="117866"/>
    <x v="87"/>
    <x v="1"/>
    <x v="1"/>
    <x v="10"/>
  </r>
  <r>
    <x v="10"/>
    <x v="0"/>
    <n v="301229"/>
    <x v="98"/>
    <x v="1"/>
    <x v="1"/>
    <x v="10"/>
  </r>
  <r>
    <x v="10"/>
    <x v="0"/>
    <n v="301229"/>
    <x v="98"/>
    <x v="2"/>
    <x v="2"/>
    <x v="10"/>
  </r>
  <r>
    <x v="10"/>
    <x v="0"/>
    <n v="216566"/>
    <x v="96"/>
    <x v="2"/>
    <x v="2"/>
    <x v="10"/>
  </r>
  <r>
    <x v="10"/>
    <x v="0"/>
    <n v="216566"/>
    <x v="96"/>
    <x v="0"/>
    <x v="0"/>
    <x v="10"/>
  </r>
  <r>
    <x v="10"/>
    <x v="0"/>
    <n v="117986"/>
    <x v="92"/>
    <x v="0"/>
    <x v="0"/>
    <x v="10"/>
  </r>
  <r>
    <x v="10"/>
    <x v="0"/>
    <n v="204939"/>
    <x v="61"/>
    <x v="2"/>
    <x v="2"/>
    <x v="10"/>
  </r>
  <r>
    <x v="10"/>
    <x v="0"/>
    <n v="204939"/>
    <x v="61"/>
    <x v="0"/>
    <x v="0"/>
    <x v="10"/>
  </r>
  <r>
    <x v="10"/>
    <x v="0"/>
    <n v="130744"/>
    <x v="97"/>
    <x v="2"/>
    <x v="2"/>
    <x v="10"/>
  </r>
  <r>
    <x v="10"/>
    <x v="0"/>
    <n v="117501"/>
    <x v="84"/>
    <x v="1"/>
    <x v="1"/>
    <x v="10"/>
  </r>
  <r>
    <x v="10"/>
    <x v="5"/>
    <n v="117986"/>
    <x v="92"/>
    <x v="2"/>
    <x v="2"/>
    <x v="10"/>
  </r>
  <r>
    <x v="10"/>
    <x v="0"/>
    <n v="117501"/>
    <x v="84"/>
    <x v="2"/>
    <x v="2"/>
    <x v="10"/>
  </r>
  <r>
    <x v="10"/>
    <x v="0"/>
    <n v="117501"/>
    <x v="84"/>
    <x v="0"/>
    <x v="0"/>
    <x v="10"/>
  </r>
  <r>
    <x v="10"/>
    <x v="0"/>
    <n v="2737"/>
    <x v="62"/>
    <x v="2"/>
    <x v="2"/>
    <x v="10"/>
  </r>
  <r>
    <x v="10"/>
    <x v="3"/>
    <n v="300987"/>
    <x v="59"/>
    <x v="1"/>
    <x v="1"/>
    <x v="10"/>
  </r>
  <r>
    <x v="10"/>
    <x v="0"/>
    <n v="117986"/>
    <x v="92"/>
    <x v="1"/>
    <x v="1"/>
    <x v="10"/>
  </r>
  <r>
    <x v="10"/>
    <x v="0"/>
    <n v="317470"/>
    <x v="10"/>
    <x v="2"/>
    <x v="2"/>
    <x v="10"/>
  </r>
  <r>
    <x v="10"/>
    <x v="0"/>
    <n v="303219"/>
    <x v="40"/>
    <x v="2"/>
    <x v="2"/>
    <x v="10"/>
  </r>
  <r>
    <x v="10"/>
    <x v="0"/>
    <n v="303219"/>
    <x v="40"/>
    <x v="0"/>
    <x v="0"/>
    <x v="10"/>
  </r>
  <r>
    <x v="10"/>
    <x v="0"/>
    <n v="118535"/>
    <x v="90"/>
    <x v="1"/>
    <x v="1"/>
    <x v="10"/>
  </r>
  <r>
    <x v="10"/>
    <x v="0"/>
    <n v="303189"/>
    <x v="42"/>
    <x v="2"/>
    <x v="2"/>
    <x v="10"/>
  </r>
  <r>
    <x v="10"/>
    <x v="0"/>
    <n v="303189"/>
    <x v="42"/>
    <x v="0"/>
    <x v="0"/>
    <x v="10"/>
  </r>
  <r>
    <x v="10"/>
    <x v="0"/>
    <n v="120762"/>
    <x v="103"/>
    <x v="0"/>
    <x v="0"/>
    <x v="10"/>
  </r>
  <r>
    <x v="10"/>
    <x v="0"/>
    <n v="301809"/>
    <x v="95"/>
    <x v="1"/>
    <x v="1"/>
    <x v="10"/>
  </r>
  <r>
    <x v="10"/>
    <x v="0"/>
    <n v="301809"/>
    <x v="95"/>
    <x v="2"/>
    <x v="2"/>
    <x v="10"/>
  </r>
  <r>
    <x v="10"/>
    <x v="0"/>
    <n v="300363"/>
    <x v="11"/>
    <x v="1"/>
    <x v="1"/>
    <x v="10"/>
  </r>
  <r>
    <x v="10"/>
    <x v="0"/>
    <n v="300363"/>
    <x v="11"/>
    <x v="2"/>
    <x v="2"/>
    <x v="10"/>
  </r>
  <r>
    <x v="10"/>
    <x v="0"/>
    <n v="120762"/>
    <x v="103"/>
    <x v="1"/>
    <x v="1"/>
    <x v="10"/>
  </r>
  <r>
    <x v="10"/>
    <x v="0"/>
    <n v="300363"/>
    <x v="11"/>
    <x v="0"/>
    <x v="0"/>
    <x v="10"/>
  </r>
  <r>
    <x v="10"/>
    <x v="0"/>
    <n v="144154"/>
    <x v="93"/>
    <x v="2"/>
    <x v="2"/>
    <x v="10"/>
  </r>
  <r>
    <x v="10"/>
    <x v="0"/>
    <n v="144154"/>
    <x v="93"/>
    <x v="0"/>
    <x v="0"/>
    <x v="10"/>
  </r>
  <r>
    <x v="10"/>
    <x v="0"/>
    <n v="312807"/>
    <x v="21"/>
    <x v="1"/>
    <x v="1"/>
    <x v="10"/>
  </r>
  <r>
    <x v="10"/>
    <x v="0"/>
    <n v="130744"/>
    <x v="97"/>
    <x v="0"/>
    <x v="0"/>
    <x v="10"/>
  </r>
  <r>
    <x v="10"/>
    <x v="4"/>
    <n v="300862"/>
    <x v="66"/>
    <x v="1"/>
    <x v="1"/>
    <x v="10"/>
  </r>
  <r>
    <x v="10"/>
    <x v="0"/>
    <n v="130744"/>
    <x v="97"/>
    <x v="1"/>
    <x v="1"/>
    <x v="10"/>
  </r>
  <r>
    <x v="10"/>
    <x v="0"/>
    <n v="312807"/>
    <x v="21"/>
    <x v="2"/>
    <x v="2"/>
    <x v="10"/>
  </r>
  <r>
    <x v="10"/>
    <x v="0"/>
    <n v="303221"/>
    <x v="38"/>
    <x v="2"/>
    <x v="2"/>
    <x v="10"/>
  </r>
  <r>
    <x v="10"/>
    <x v="0"/>
    <n v="303221"/>
    <x v="38"/>
    <x v="0"/>
    <x v="0"/>
    <x v="10"/>
  </r>
  <r>
    <x v="10"/>
    <x v="4"/>
    <n v="131643"/>
    <x v="0"/>
    <x v="1"/>
    <x v="1"/>
    <x v="10"/>
  </r>
  <r>
    <x v="10"/>
    <x v="0"/>
    <n v="302769"/>
    <x v="49"/>
    <x v="2"/>
    <x v="2"/>
    <x v="10"/>
  </r>
  <r>
    <x v="10"/>
    <x v="0"/>
    <n v="302769"/>
    <x v="49"/>
    <x v="0"/>
    <x v="0"/>
    <x v="10"/>
  </r>
  <r>
    <x v="10"/>
    <x v="0"/>
    <n v="140302"/>
    <x v="100"/>
    <x v="1"/>
    <x v="1"/>
    <x v="10"/>
  </r>
  <r>
    <x v="10"/>
    <x v="0"/>
    <n v="301920"/>
    <x v="91"/>
    <x v="2"/>
    <x v="2"/>
    <x v="10"/>
  </r>
  <r>
    <x v="10"/>
    <x v="0"/>
    <n v="301920"/>
    <x v="91"/>
    <x v="0"/>
    <x v="0"/>
    <x v="10"/>
  </r>
  <r>
    <x v="10"/>
    <x v="0"/>
    <n v="210001"/>
    <x v="36"/>
    <x v="2"/>
    <x v="2"/>
    <x v="10"/>
  </r>
  <r>
    <x v="10"/>
    <x v="0"/>
    <n v="144154"/>
    <x v="93"/>
    <x v="1"/>
    <x v="1"/>
    <x v="10"/>
  </r>
  <r>
    <x v="10"/>
    <x v="0"/>
    <n v="316879"/>
    <x v="2"/>
    <x v="1"/>
    <x v="1"/>
    <x v="10"/>
  </r>
  <r>
    <x v="10"/>
    <x v="0"/>
    <n v="316879"/>
    <x v="2"/>
    <x v="2"/>
    <x v="2"/>
    <x v="10"/>
  </r>
  <r>
    <x v="10"/>
    <x v="0"/>
    <n v="301760"/>
    <x v="89"/>
    <x v="2"/>
    <x v="2"/>
    <x v="10"/>
  </r>
  <r>
    <x v="10"/>
    <x v="0"/>
    <n v="300711"/>
    <x v="74"/>
    <x v="2"/>
    <x v="2"/>
    <x v="10"/>
  </r>
  <r>
    <x v="10"/>
    <x v="0"/>
    <n v="144649"/>
    <x v="102"/>
    <x v="1"/>
    <x v="1"/>
    <x v="10"/>
  </r>
  <r>
    <x v="10"/>
    <x v="0"/>
    <n v="300711"/>
    <x v="74"/>
    <x v="0"/>
    <x v="0"/>
    <x v="10"/>
  </r>
  <r>
    <x v="10"/>
    <x v="0"/>
    <n v="120762"/>
    <x v="103"/>
    <x v="2"/>
    <x v="2"/>
    <x v="10"/>
  </r>
  <r>
    <x v="10"/>
    <x v="0"/>
    <n v="300711"/>
    <x v="74"/>
    <x v="1"/>
    <x v="1"/>
    <x v="10"/>
  </r>
  <r>
    <x v="10"/>
    <x v="3"/>
    <n v="149445"/>
    <x v="99"/>
    <x v="1"/>
    <x v="1"/>
    <x v="10"/>
  </r>
  <r>
    <x v="10"/>
    <x v="0"/>
    <n v="118535"/>
    <x v="90"/>
    <x v="2"/>
    <x v="2"/>
    <x v="10"/>
  </r>
  <r>
    <x v="10"/>
    <x v="0"/>
    <n v="118535"/>
    <x v="90"/>
    <x v="0"/>
    <x v="0"/>
    <x v="10"/>
  </r>
  <r>
    <x v="10"/>
    <x v="0"/>
    <n v="158311"/>
    <x v="60"/>
    <x v="1"/>
    <x v="1"/>
    <x v="10"/>
  </r>
  <r>
    <x v="10"/>
    <x v="0"/>
    <n v="312617"/>
    <x v="24"/>
    <x v="2"/>
    <x v="2"/>
    <x v="10"/>
  </r>
  <r>
    <x v="10"/>
    <x v="0"/>
    <n v="209211"/>
    <x v="33"/>
    <x v="2"/>
    <x v="2"/>
    <x v="10"/>
  </r>
  <r>
    <x v="10"/>
    <x v="0"/>
    <n v="209211"/>
    <x v="33"/>
    <x v="0"/>
    <x v="0"/>
    <x v="10"/>
  </r>
  <r>
    <x v="10"/>
    <x v="0"/>
    <n v="158751"/>
    <x v="54"/>
    <x v="1"/>
    <x v="1"/>
    <x v="10"/>
  </r>
  <r>
    <x v="10"/>
    <x v="0"/>
    <n v="323608"/>
    <x v="31"/>
    <x v="1"/>
    <x v="1"/>
    <x v="10"/>
  </r>
  <r>
    <x v="10"/>
    <x v="0"/>
    <n v="323608"/>
    <x v="31"/>
    <x v="2"/>
    <x v="2"/>
    <x v="10"/>
  </r>
  <r>
    <x v="10"/>
    <x v="0"/>
    <n v="323608"/>
    <x v="31"/>
    <x v="0"/>
    <x v="0"/>
    <x v="10"/>
  </r>
  <r>
    <x v="10"/>
    <x v="3"/>
    <n v="160030"/>
    <x v="55"/>
    <x v="1"/>
    <x v="1"/>
    <x v="10"/>
  </r>
  <r>
    <x v="10"/>
    <x v="0"/>
    <n v="218616"/>
    <x v="86"/>
    <x v="2"/>
    <x v="2"/>
    <x v="10"/>
  </r>
  <r>
    <x v="10"/>
    <x v="0"/>
    <n v="218616"/>
    <x v="86"/>
    <x v="0"/>
    <x v="0"/>
    <x v="10"/>
  </r>
  <r>
    <x v="10"/>
    <x v="0"/>
    <n v="302856"/>
    <x v="46"/>
    <x v="1"/>
    <x v="1"/>
    <x v="10"/>
  </r>
  <r>
    <x v="10"/>
    <x v="4"/>
    <n v="161003"/>
    <x v="88"/>
    <x v="1"/>
    <x v="1"/>
    <x v="10"/>
  </r>
  <r>
    <x v="10"/>
    <x v="0"/>
    <n v="302856"/>
    <x v="46"/>
    <x v="2"/>
    <x v="2"/>
    <x v="10"/>
  </r>
  <r>
    <x v="10"/>
    <x v="0"/>
    <n v="211470"/>
    <x v="53"/>
    <x v="2"/>
    <x v="2"/>
    <x v="10"/>
  </r>
  <r>
    <x v="10"/>
    <x v="0"/>
    <n v="300571"/>
    <x v="18"/>
    <x v="1"/>
    <x v="1"/>
    <x v="10"/>
  </r>
  <r>
    <x v="10"/>
    <x v="3"/>
    <n v="161520"/>
    <x v="77"/>
    <x v="1"/>
    <x v="1"/>
    <x v="10"/>
  </r>
  <r>
    <x v="10"/>
    <x v="0"/>
    <n v="211470"/>
    <x v="53"/>
    <x v="0"/>
    <x v="0"/>
    <x v="10"/>
  </r>
  <r>
    <x v="10"/>
    <x v="0"/>
    <n v="209208"/>
    <x v="30"/>
    <x v="2"/>
    <x v="2"/>
    <x v="10"/>
  </r>
  <r>
    <x v="10"/>
    <x v="4"/>
    <n v="168458"/>
    <x v="75"/>
    <x v="1"/>
    <x v="1"/>
    <x v="10"/>
  </r>
  <r>
    <x v="10"/>
    <x v="0"/>
    <n v="209208"/>
    <x v="30"/>
    <x v="0"/>
    <x v="0"/>
    <x v="10"/>
  </r>
  <r>
    <x v="10"/>
    <x v="0"/>
    <n v="117819"/>
    <x v="83"/>
    <x v="2"/>
    <x v="2"/>
    <x v="10"/>
  </r>
  <r>
    <x v="10"/>
    <x v="0"/>
    <n v="169537"/>
    <x v="81"/>
    <x v="1"/>
    <x v="1"/>
    <x v="10"/>
  </r>
  <r>
    <x v="10"/>
    <x v="0"/>
    <n v="117819"/>
    <x v="83"/>
    <x v="0"/>
    <x v="0"/>
    <x v="10"/>
  </r>
  <r>
    <x v="10"/>
    <x v="0"/>
    <n v="686"/>
    <x v="26"/>
    <x v="2"/>
    <x v="2"/>
    <x v="10"/>
  </r>
  <r>
    <x v="10"/>
    <x v="0"/>
    <n v="686"/>
    <x v="26"/>
    <x v="0"/>
    <x v="0"/>
    <x v="10"/>
  </r>
  <r>
    <x v="10"/>
    <x v="0"/>
    <n v="169872"/>
    <x v="79"/>
    <x v="1"/>
    <x v="1"/>
    <x v="10"/>
  </r>
  <r>
    <x v="10"/>
    <x v="0"/>
    <n v="311895"/>
    <x v="34"/>
    <x v="2"/>
    <x v="2"/>
    <x v="10"/>
  </r>
  <r>
    <x v="10"/>
    <x v="0"/>
    <n v="311895"/>
    <x v="34"/>
    <x v="0"/>
    <x v="0"/>
    <x v="10"/>
  </r>
  <r>
    <x v="10"/>
    <x v="0"/>
    <n v="211622"/>
    <x v="82"/>
    <x v="1"/>
    <x v="1"/>
    <x v="10"/>
  </r>
  <r>
    <x v="10"/>
    <x v="0"/>
    <n v="203631"/>
    <x v="71"/>
    <x v="1"/>
    <x v="1"/>
    <x v="10"/>
  </r>
  <r>
    <x v="10"/>
    <x v="0"/>
    <n v="211622"/>
    <x v="82"/>
    <x v="2"/>
    <x v="2"/>
    <x v="10"/>
  </r>
  <r>
    <x v="10"/>
    <x v="0"/>
    <n v="211622"/>
    <x v="82"/>
    <x v="0"/>
    <x v="0"/>
    <x v="10"/>
  </r>
  <r>
    <x v="10"/>
    <x v="0"/>
    <n v="300571"/>
    <x v="18"/>
    <x v="0"/>
    <x v="0"/>
    <x v="10"/>
  </r>
  <r>
    <x v="10"/>
    <x v="4"/>
    <n v="204615"/>
    <x v="67"/>
    <x v="1"/>
    <x v="1"/>
    <x v="10"/>
  </r>
  <r>
    <x v="10"/>
    <x v="0"/>
    <n v="208277"/>
    <x v="25"/>
    <x v="2"/>
    <x v="2"/>
    <x v="10"/>
  </r>
  <r>
    <x v="10"/>
    <x v="0"/>
    <n v="169872"/>
    <x v="79"/>
    <x v="2"/>
    <x v="2"/>
    <x v="10"/>
  </r>
  <r>
    <x v="10"/>
    <x v="0"/>
    <n v="204939"/>
    <x v="61"/>
    <x v="1"/>
    <x v="1"/>
    <x v="10"/>
  </r>
  <r>
    <x v="10"/>
    <x v="0"/>
    <n v="169872"/>
    <x v="79"/>
    <x v="0"/>
    <x v="0"/>
    <x v="10"/>
  </r>
  <r>
    <x v="10"/>
    <x v="0"/>
    <n v="218732"/>
    <x v="29"/>
    <x v="1"/>
    <x v="1"/>
    <x v="10"/>
  </r>
  <r>
    <x v="10"/>
    <x v="0"/>
    <n v="204952"/>
    <x v="56"/>
    <x v="1"/>
    <x v="1"/>
    <x v="10"/>
  </r>
  <r>
    <x v="10"/>
    <x v="0"/>
    <n v="218698"/>
    <x v="48"/>
    <x v="1"/>
    <x v="1"/>
    <x v="10"/>
  </r>
  <r>
    <x v="10"/>
    <x v="5"/>
    <n v="218674"/>
    <x v="57"/>
    <x v="1"/>
    <x v="1"/>
    <x v="10"/>
  </r>
  <r>
    <x v="10"/>
    <x v="3"/>
    <n v="218644"/>
    <x v="63"/>
    <x v="1"/>
    <x v="1"/>
    <x v="10"/>
  </r>
  <r>
    <x v="10"/>
    <x v="3"/>
    <n v="205104"/>
    <x v="51"/>
    <x v="1"/>
    <x v="1"/>
    <x v="10"/>
  </r>
  <r>
    <x v="10"/>
    <x v="3"/>
    <n v="218644"/>
    <x v="63"/>
    <x v="0"/>
    <x v="0"/>
    <x v="10"/>
  </r>
  <r>
    <x v="10"/>
    <x v="3"/>
    <n v="218628"/>
    <x v="76"/>
    <x v="1"/>
    <x v="1"/>
    <x v="10"/>
  </r>
  <r>
    <x v="10"/>
    <x v="3"/>
    <n v="218628"/>
    <x v="76"/>
    <x v="0"/>
    <x v="0"/>
    <x v="10"/>
  </r>
  <r>
    <x v="10"/>
    <x v="0"/>
    <n v="205228"/>
    <x v="44"/>
    <x v="1"/>
    <x v="1"/>
    <x v="10"/>
  </r>
  <r>
    <x v="10"/>
    <x v="0"/>
    <n v="218916"/>
    <x v="17"/>
    <x v="1"/>
    <x v="1"/>
    <x v="10"/>
  </r>
  <r>
    <x v="10"/>
    <x v="0"/>
    <n v="218616"/>
    <x v="86"/>
    <x v="1"/>
    <x v="1"/>
    <x v="10"/>
  </r>
  <r>
    <x v="10"/>
    <x v="0"/>
    <n v="218402"/>
    <x v="101"/>
    <x v="1"/>
    <x v="1"/>
    <x v="10"/>
  </r>
  <r>
    <x v="10"/>
    <x v="4"/>
    <n v="218225"/>
    <x v="1"/>
    <x v="1"/>
    <x v="1"/>
    <x v="10"/>
  </r>
  <r>
    <x v="10"/>
    <x v="4"/>
    <n v="205349"/>
    <x v="39"/>
    <x v="1"/>
    <x v="1"/>
    <x v="10"/>
  </r>
  <r>
    <x v="10"/>
    <x v="0"/>
    <n v="218210"/>
    <x v="69"/>
    <x v="0"/>
    <x v="0"/>
    <x v="10"/>
  </r>
  <r>
    <x v="10"/>
    <x v="0"/>
    <n v="217678"/>
    <x v="104"/>
    <x v="1"/>
    <x v="1"/>
    <x v="10"/>
  </r>
  <r>
    <x v="10"/>
    <x v="3"/>
    <n v="218987"/>
    <x v="8"/>
    <x v="0"/>
    <x v="0"/>
    <x v="10"/>
  </r>
  <r>
    <x v="10"/>
    <x v="3"/>
    <n v="205985"/>
    <x v="27"/>
    <x v="0"/>
    <x v="0"/>
    <x v="10"/>
  </r>
  <r>
    <x v="10"/>
    <x v="0"/>
    <n v="217081"/>
    <x v="13"/>
    <x v="1"/>
    <x v="1"/>
    <x v="10"/>
  </r>
  <r>
    <x v="10"/>
    <x v="0"/>
    <n v="216566"/>
    <x v="96"/>
    <x v="1"/>
    <x v="1"/>
    <x v="10"/>
  </r>
  <r>
    <x v="10"/>
    <x v="0"/>
    <n v="216476"/>
    <x v="94"/>
    <x v="1"/>
    <x v="1"/>
    <x v="10"/>
  </r>
  <r>
    <x v="10"/>
    <x v="0"/>
    <n v="300219"/>
    <x v="3"/>
    <x v="1"/>
    <x v="1"/>
    <x v="10"/>
  </r>
  <r>
    <x v="10"/>
    <x v="0"/>
    <n v="205985"/>
    <x v="27"/>
    <x v="1"/>
    <x v="1"/>
    <x v="10"/>
  </r>
  <r>
    <x v="10"/>
    <x v="0"/>
    <n v="215020"/>
    <x v="72"/>
    <x v="1"/>
    <x v="1"/>
    <x v="10"/>
  </r>
  <r>
    <x v="10"/>
    <x v="1"/>
    <n v="215020"/>
    <x v="72"/>
    <x v="0"/>
    <x v="0"/>
    <x v="10"/>
  </r>
  <r>
    <x v="10"/>
    <x v="5"/>
    <n v="214951"/>
    <x v="78"/>
    <x v="1"/>
    <x v="1"/>
    <x v="10"/>
  </r>
  <r>
    <x v="10"/>
    <x v="3"/>
    <n v="206236"/>
    <x v="22"/>
    <x v="1"/>
    <x v="1"/>
    <x v="10"/>
  </r>
  <r>
    <x v="10"/>
    <x v="1"/>
    <n v="218987"/>
    <x v="8"/>
    <x v="2"/>
    <x v="2"/>
    <x v="10"/>
  </r>
  <r>
    <x v="10"/>
    <x v="4"/>
    <n v="213849"/>
    <x v="58"/>
    <x v="1"/>
    <x v="1"/>
    <x v="10"/>
  </r>
  <r>
    <x v="10"/>
    <x v="0"/>
    <n v="206298"/>
    <x v="14"/>
    <x v="1"/>
    <x v="1"/>
    <x v="10"/>
  </r>
  <r>
    <x v="10"/>
    <x v="4"/>
    <n v="211470"/>
    <x v="53"/>
    <x v="1"/>
    <x v="1"/>
    <x v="10"/>
  </r>
  <r>
    <x v="10"/>
    <x v="0"/>
    <n v="211415"/>
    <x v="50"/>
    <x v="1"/>
    <x v="1"/>
    <x v="10"/>
  </r>
  <r>
    <x v="10"/>
    <x v="2"/>
    <n v="210557"/>
    <x v="47"/>
    <x v="1"/>
    <x v="1"/>
    <x v="10"/>
  </r>
  <r>
    <x v="10"/>
    <x v="0"/>
    <n v="206348"/>
    <x v="4"/>
    <x v="0"/>
    <x v="0"/>
    <x v="10"/>
  </r>
  <r>
    <x v="10"/>
    <x v="0"/>
    <n v="210515"/>
    <x v="43"/>
    <x v="1"/>
    <x v="1"/>
    <x v="10"/>
  </r>
  <r>
    <x v="10"/>
    <x v="3"/>
    <n v="218987"/>
    <x v="8"/>
    <x v="1"/>
    <x v="1"/>
    <x v="10"/>
  </r>
  <r>
    <x v="10"/>
    <x v="0"/>
    <n v="210515"/>
    <x v="43"/>
    <x v="0"/>
    <x v="0"/>
    <x v="10"/>
  </r>
  <r>
    <x v="10"/>
    <x v="0"/>
    <n v="300219"/>
    <x v="3"/>
    <x v="0"/>
    <x v="0"/>
    <x v="10"/>
  </r>
  <r>
    <x v="10"/>
    <x v="0"/>
    <n v="206348"/>
    <x v="4"/>
    <x v="1"/>
    <x v="1"/>
    <x v="10"/>
  </r>
  <r>
    <x v="10"/>
    <x v="3"/>
    <n v="210127"/>
    <x v="41"/>
    <x v="1"/>
    <x v="1"/>
    <x v="10"/>
  </r>
  <r>
    <x v="10"/>
    <x v="0"/>
    <n v="210001"/>
    <x v="36"/>
    <x v="1"/>
    <x v="1"/>
    <x v="10"/>
  </r>
  <r>
    <x v="10"/>
    <x v="0"/>
    <n v="210001"/>
    <x v="36"/>
    <x v="0"/>
    <x v="0"/>
    <x v="10"/>
  </r>
  <r>
    <x v="10"/>
    <x v="0"/>
    <n v="206708"/>
    <x v="7"/>
    <x v="0"/>
    <x v="0"/>
    <x v="10"/>
  </r>
  <r>
    <x v="10"/>
    <x v="0"/>
    <n v="209211"/>
    <x v="33"/>
    <x v="1"/>
    <x v="1"/>
    <x v="10"/>
  </r>
  <r>
    <x v="10"/>
    <x v="3"/>
    <n v="209209"/>
    <x v="32"/>
    <x v="1"/>
    <x v="1"/>
    <x v="10"/>
  </r>
  <r>
    <x v="10"/>
    <x v="0"/>
    <n v="206708"/>
    <x v="7"/>
    <x v="1"/>
    <x v="1"/>
    <x v="10"/>
  </r>
  <r>
    <x v="10"/>
    <x v="0"/>
    <n v="300169"/>
    <x v="5"/>
    <x v="0"/>
    <x v="0"/>
    <x v="10"/>
  </r>
  <r>
    <x v="10"/>
    <x v="0"/>
    <n v="209208"/>
    <x v="30"/>
    <x v="1"/>
    <x v="1"/>
    <x v="10"/>
  </r>
  <r>
    <x v="10"/>
    <x v="0"/>
    <n v="208277"/>
    <x v="25"/>
    <x v="1"/>
    <x v="1"/>
    <x v="10"/>
  </r>
  <r>
    <x v="10"/>
    <x v="0"/>
    <n v="206968"/>
    <x v="12"/>
    <x v="0"/>
    <x v="0"/>
    <x v="10"/>
  </r>
  <r>
    <x v="10"/>
    <x v="0"/>
    <n v="208277"/>
    <x v="25"/>
    <x v="0"/>
    <x v="0"/>
    <x v="10"/>
  </r>
  <r>
    <x v="10"/>
    <x v="3"/>
    <n v="207743"/>
    <x v="20"/>
    <x v="1"/>
    <x v="1"/>
    <x v="10"/>
  </r>
  <r>
    <x v="10"/>
    <x v="0"/>
    <n v="207743"/>
    <x v="20"/>
    <x v="0"/>
    <x v="0"/>
    <x v="10"/>
  </r>
  <r>
    <x v="10"/>
    <x v="3"/>
    <n v="207404"/>
    <x v="16"/>
    <x v="1"/>
    <x v="1"/>
    <x v="10"/>
  </r>
  <r>
    <x v="11"/>
    <x v="0"/>
    <n v="316646"/>
    <x v="6"/>
    <x v="2"/>
    <x v="2"/>
    <x v="11"/>
  </r>
  <r>
    <x v="11"/>
    <x v="0"/>
    <n v="117230"/>
    <x v="73"/>
    <x v="0"/>
    <x v="0"/>
    <x v="11"/>
  </r>
  <r>
    <x v="11"/>
    <x v="0"/>
    <n v="205349"/>
    <x v="39"/>
    <x v="2"/>
    <x v="2"/>
    <x v="11"/>
  </r>
  <r>
    <x v="11"/>
    <x v="3"/>
    <n v="207404"/>
    <x v="16"/>
    <x v="1"/>
    <x v="1"/>
    <x v="11"/>
  </r>
  <r>
    <x v="11"/>
    <x v="0"/>
    <n v="300169"/>
    <x v="5"/>
    <x v="1"/>
    <x v="1"/>
    <x v="11"/>
  </r>
  <r>
    <x v="11"/>
    <x v="0"/>
    <n v="205349"/>
    <x v="39"/>
    <x v="0"/>
    <x v="0"/>
    <x v="11"/>
  </r>
  <r>
    <x v="11"/>
    <x v="3"/>
    <n v="207743"/>
    <x v="20"/>
    <x v="1"/>
    <x v="1"/>
    <x v="11"/>
  </r>
  <r>
    <x v="11"/>
    <x v="0"/>
    <n v="161520"/>
    <x v="77"/>
    <x v="2"/>
    <x v="2"/>
    <x v="11"/>
  </r>
  <r>
    <x v="11"/>
    <x v="0"/>
    <n v="206968"/>
    <x v="12"/>
    <x v="0"/>
    <x v="0"/>
    <x v="11"/>
  </r>
  <r>
    <x v="11"/>
    <x v="0"/>
    <n v="208277"/>
    <x v="25"/>
    <x v="0"/>
    <x v="0"/>
    <x v="11"/>
  </r>
  <r>
    <x v="11"/>
    <x v="0"/>
    <n v="161520"/>
    <x v="77"/>
    <x v="0"/>
    <x v="0"/>
    <x v="11"/>
  </r>
  <r>
    <x v="11"/>
    <x v="0"/>
    <n v="117456"/>
    <x v="80"/>
    <x v="2"/>
    <x v="2"/>
    <x v="11"/>
  </r>
  <r>
    <x v="11"/>
    <x v="0"/>
    <n v="117456"/>
    <x v="80"/>
    <x v="0"/>
    <x v="0"/>
    <x v="11"/>
  </r>
  <r>
    <x v="11"/>
    <x v="0"/>
    <n v="168458"/>
    <x v="75"/>
    <x v="2"/>
    <x v="2"/>
    <x v="11"/>
  </r>
  <r>
    <x v="11"/>
    <x v="0"/>
    <n v="208277"/>
    <x v="25"/>
    <x v="1"/>
    <x v="1"/>
    <x v="11"/>
  </r>
  <r>
    <x v="11"/>
    <x v="0"/>
    <n v="168458"/>
    <x v="75"/>
    <x v="0"/>
    <x v="0"/>
    <x v="11"/>
  </r>
  <r>
    <x v="11"/>
    <x v="0"/>
    <n v="507"/>
    <x v="9"/>
    <x v="2"/>
    <x v="2"/>
    <x v="11"/>
  </r>
  <r>
    <x v="11"/>
    <x v="0"/>
    <n v="300169"/>
    <x v="5"/>
    <x v="0"/>
    <x v="0"/>
    <x v="11"/>
  </r>
  <r>
    <x v="11"/>
    <x v="0"/>
    <n v="218628"/>
    <x v="76"/>
    <x v="2"/>
    <x v="2"/>
    <x v="11"/>
  </r>
  <r>
    <x v="11"/>
    <x v="0"/>
    <n v="209208"/>
    <x v="30"/>
    <x v="1"/>
    <x v="1"/>
    <x v="11"/>
  </r>
  <r>
    <x v="11"/>
    <x v="0"/>
    <n v="218225"/>
    <x v="1"/>
    <x v="2"/>
    <x v="2"/>
    <x v="11"/>
  </r>
  <r>
    <x v="11"/>
    <x v="0"/>
    <n v="206708"/>
    <x v="7"/>
    <x v="1"/>
    <x v="1"/>
    <x v="11"/>
  </r>
  <r>
    <x v="11"/>
    <x v="0"/>
    <n v="218225"/>
    <x v="1"/>
    <x v="0"/>
    <x v="0"/>
    <x v="11"/>
  </r>
  <r>
    <x v="11"/>
    <x v="4"/>
    <n v="209209"/>
    <x v="32"/>
    <x v="1"/>
    <x v="1"/>
    <x v="11"/>
  </r>
  <r>
    <x v="11"/>
    <x v="0"/>
    <n v="215020"/>
    <x v="72"/>
    <x v="2"/>
    <x v="2"/>
    <x v="11"/>
  </r>
  <r>
    <x v="11"/>
    <x v="0"/>
    <n v="206708"/>
    <x v="7"/>
    <x v="0"/>
    <x v="0"/>
    <x v="11"/>
  </r>
  <r>
    <x v="11"/>
    <x v="0"/>
    <n v="209211"/>
    <x v="33"/>
    <x v="1"/>
    <x v="1"/>
    <x v="11"/>
  </r>
  <r>
    <x v="11"/>
    <x v="0"/>
    <n v="131643"/>
    <x v="0"/>
    <x v="2"/>
    <x v="2"/>
    <x v="11"/>
  </r>
  <r>
    <x v="11"/>
    <x v="0"/>
    <n v="131643"/>
    <x v="0"/>
    <x v="0"/>
    <x v="0"/>
    <x v="11"/>
  </r>
  <r>
    <x v="11"/>
    <x v="0"/>
    <n v="210001"/>
    <x v="36"/>
    <x v="0"/>
    <x v="0"/>
    <x v="11"/>
  </r>
  <r>
    <x v="11"/>
    <x v="0"/>
    <n v="300571"/>
    <x v="18"/>
    <x v="2"/>
    <x v="2"/>
    <x v="11"/>
  </r>
  <r>
    <x v="11"/>
    <x v="0"/>
    <n v="207743"/>
    <x v="20"/>
    <x v="2"/>
    <x v="2"/>
    <x v="11"/>
  </r>
  <r>
    <x v="11"/>
    <x v="0"/>
    <n v="207743"/>
    <x v="20"/>
    <x v="0"/>
    <x v="0"/>
    <x v="11"/>
  </r>
  <r>
    <x v="11"/>
    <x v="0"/>
    <n v="206708"/>
    <x v="7"/>
    <x v="2"/>
    <x v="2"/>
    <x v="11"/>
  </r>
  <r>
    <x v="11"/>
    <x v="0"/>
    <n v="210001"/>
    <x v="36"/>
    <x v="1"/>
    <x v="1"/>
    <x v="11"/>
  </r>
  <r>
    <x v="11"/>
    <x v="0"/>
    <n v="218210"/>
    <x v="69"/>
    <x v="1"/>
    <x v="1"/>
    <x v="11"/>
  </r>
  <r>
    <x v="11"/>
    <x v="0"/>
    <n v="218210"/>
    <x v="69"/>
    <x v="2"/>
    <x v="2"/>
    <x v="11"/>
  </r>
  <r>
    <x v="11"/>
    <x v="0"/>
    <n v="300862"/>
    <x v="66"/>
    <x v="2"/>
    <x v="2"/>
    <x v="11"/>
  </r>
  <r>
    <x v="11"/>
    <x v="0"/>
    <n v="206348"/>
    <x v="4"/>
    <x v="1"/>
    <x v="1"/>
    <x v="11"/>
  </r>
  <r>
    <x v="11"/>
    <x v="3"/>
    <n v="210127"/>
    <x v="41"/>
    <x v="1"/>
    <x v="1"/>
    <x v="11"/>
  </r>
  <r>
    <x v="11"/>
    <x v="0"/>
    <n v="300862"/>
    <x v="66"/>
    <x v="0"/>
    <x v="0"/>
    <x v="11"/>
  </r>
  <r>
    <x v="11"/>
    <x v="3"/>
    <n v="218987"/>
    <x v="8"/>
    <x v="1"/>
    <x v="1"/>
    <x v="11"/>
  </r>
  <r>
    <x v="11"/>
    <x v="0"/>
    <n v="206348"/>
    <x v="4"/>
    <x v="2"/>
    <x v="2"/>
    <x v="11"/>
  </r>
  <r>
    <x v="11"/>
    <x v="0"/>
    <n v="210515"/>
    <x v="43"/>
    <x v="0"/>
    <x v="0"/>
    <x v="11"/>
  </r>
  <r>
    <x v="11"/>
    <x v="0"/>
    <n v="117442"/>
    <x v="68"/>
    <x v="2"/>
    <x v="2"/>
    <x v="11"/>
  </r>
  <r>
    <x v="11"/>
    <x v="0"/>
    <n v="117442"/>
    <x v="68"/>
    <x v="0"/>
    <x v="0"/>
    <x v="11"/>
  </r>
  <r>
    <x v="11"/>
    <x v="0"/>
    <n v="302737"/>
    <x v="52"/>
    <x v="2"/>
    <x v="2"/>
    <x v="11"/>
  </r>
  <r>
    <x v="11"/>
    <x v="0"/>
    <n v="206348"/>
    <x v="4"/>
    <x v="0"/>
    <x v="0"/>
    <x v="11"/>
  </r>
  <r>
    <x v="11"/>
    <x v="0"/>
    <n v="210515"/>
    <x v="43"/>
    <x v="1"/>
    <x v="1"/>
    <x v="11"/>
  </r>
  <r>
    <x v="11"/>
    <x v="0"/>
    <n v="301805"/>
    <x v="64"/>
    <x v="1"/>
    <x v="1"/>
    <x v="11"/>
  </r>
  <r>
    <x v="11"/>
    <x v="0"/>
    <n v="301805"/>
    <x v="64"/>
    <x v="2"/>
    <x v="2"/>
    <x v="11"/>
  </r>
  <r>
    <x v="11"/>
    <x v="0"/>
    <n v="300219"/>
    <x v="3"/>
    <x v="0"/>
    <x v="0"/>
    <x v="11"/>
  </r>
  <r>
    <x v="11"/>
    <x v="2"/>
    <n v="210557"/>
    <x v="47"/>
    <x v="1"/>
    <x v="1"/>
    <x v="11"/>
  </r>
  <r>
    <x v="11"/>
    <x v="0"/>
    <n v="218623"/>
    <x v="65"/>
    <x v="1"/>
    <x v="1"/>
    <x v="11"/>
  </r>
  <r>
    <x v="11"/>
    <x v="0"/>
    <n v="218623"/>
    <x v="65"/>
    <x v="2"/>
    <x v="2"/>
    <x v="11"/>
  </r>
  <r>
    <x v="11"/>
    <x v="0"/>
    <n v="211415"/>
    <x v="50"/>
    <x v="1"/>
    <x v="1"/>
    <x v="11"/>
  </r>
  <r>
    <x v="11"/>
    <x v="0"/>
    <n v="218623"/>
    <x v="65"/>
    <x v="0"/>
    <x v="0"/>
    <x v="11"/>
  </r>
  <r>
    <x v="11"/>
    <x v="0"/>
    <n v="158311"/>
    <x v="60"/>
    <x v="2"/>
    <x v="2"/>
    <x v="11"/>
  </r>
  <r>
    <x v="11"/>
    <x v="0"/>
    <n v="158311"/>
    <x v="60"/>
    <x v="0"/>
    <x v="0"/>
    <x v="11"/>
  </r>
  <r>
    <x v="11"/>
    <x v="0"/>
    <n v="206298"/>
    <x v="14"/>
    <x v="1"/>
    <x v="1"/>
    <x v="11"/>
  </r>
  <r>
    <x v="11"/>
    <x v="3"/>
    <n v="211470"/>
    <x v="53"/>
    <x v="1"/>
    <x v="1"/>
    <x v="11"/>
  </r>
  <r>
    <x v="11"/>
    <x v="0"/>
    <n v="211415"/>
    <x v="50"/>
    <x v="2"/>
    <x v="2"/>
    <x v="11"/>
  </r>
  <r>
    <x v="11"/>
    <x v="0"/>
    <n v="211415"/>
    <x v="50"/>
    <x v="0"/>
    <x v="0"/>
    <x v="11"/>
  </r>
  <r>
    <x v="11"/>
    <x v="1"/>
    <n v="218987"/>
    <x v="8"/>
    <x v="2"/>
    <x v="2"/>
    <x v="11"/>
  </r>
  <r>
    <x v="11"/>
    <x v="0"/>
    <n v="300987"/>
    <x v="59"/>
    <x v="2"/>
    <x v="2"/>
    <x v="11"/>
  </r>
  <r>
    <x v="11"/>
    <x v="4"/>
    <n v="213849"/>
    <x v="58"/>
    <x v="1"/>
    <x v="1"/>
    <x v="11"/>
  </r>
  <r>
    <x v="11"/>
    <x v="0"/>
    <n v="300987"/>
    <x v="59"/>
    <x v="0"/>
    <x v="0"/>
    <x v="11"/>
  </r>
  <r>
    <x v="11"/>
    <x v="3"/>
    <n v="206236"/>
    <x v="22"/>
    <x v="1"/>
    <x v="1"/>
    <x v="11"/>
  </r>
  <r>
    <x v="11"/>
    <x v="0"/>
    <n v="206298"/>
    <x v="14"/>
    <x v="2"/>
    <x v="2"/>
    <x v="11"/>
  </r>
  <r>
    <x v="11"/>
    <x v="3"/>
    <n v="214951"/>
    <x v="78"/>
    <x v="1"/>
    <x v="1"/>
    <x v="11"/>
  </r>
  <r>
    <x v="11"/>
    <x v="0"/>
    <n v="206298"/>
    <x v="14"/>
    <x v="0"/>
    <x v="0"/>
    <x v="11"/>
  </r>
  <r>
    <x v="11"/>
    <x v="0"/>
    <n v="205228"/>
    <x v="44"/>
    <x v="2"/>
    <x v="2"/>
    <x v="11"/>
  </r>
  <r>
    <x v="11"/>
    <x v="1"/>
    <n v="215020"/>
    <x v="72"/>
    <x v="0"/>
    <x v="0"/>
    <x v="11"/>
  </r>
  <r>
    <x v="11"/>
    <x v="0"/>
    <n v="205228"/>
    <x v="44"/>
    <x v="0"/>
    <x v="0"/>
    <x v="11"/>
  </r>
  <r>
    <x v="11"/>
    <x v="0"/>
    <n v="205985"/>
    <x v="27"/>
    <x v="1"/>
    <x v="1"/>
    <x v="11"/>
  </r>
  <r>
    <x v="11"/>
    <x v="0"/>
    <n v="215020"/>
    <x v="72"/>
    <x v="1"/>
    <x v="1"/>
    <x v="11"/>
  </r>
  <r>
    <x v="11"/>
    <x v="0"/>
    <n v="160030"/>
    <x v="55"/>
    <x v="2"/>
    <x v="2"/>
    <x v="11"/>
  </r>
  <r>
    <x v="11"/>
    <x v="0"/>
    <n v="160030"/>
    <x v="55"/>
    <x v="0"/>
    <x v="0"/>
    <x v="11"/>
  </r>
  <r>
    <x v="11"/>
    <x v="0"/>
    <n v="158751"/>
    <x v="54"/>
    <x v="2"/>
    <x v="2"/>
    <x v="11"/>
  </r>
  <r>
    <x v="11"/>
    <x v="0"/>
    <n v="216476"/>
    <x v="94"/>
    <x v="1"/>
    <x v="1"/>
    <x v="11"/>
  </r>
  <r>
    <x v="11"/>
    <x v="0"/>
    <n v="158751"/>
    <x v="54"/>
    <x v="0"/>
    <x v="0"/>
    <x v="11"/>
  </r>
  <r>
    <x v="11"/>
    <x v="0"/>
    <n v="300219"/>
    <x v="3"/>
    <x v="2"/>
    <x v="2"/>
    <x v="11"/>
  </r>
  <r>
    <x v="11"/>
    <x v="0"/>
    <n v="213849"/>
    <x v="58"/>
    <x v="2"/>
    <x v="2"/>
    <x v="11"/>
  </r>
  <r>
    <x v="11"/>
    <x v="0"/>
    <n v="216566"/>
    <x v="96"/>
    <x v="1"/>
    <x v="1"/>
    <x v="11"/>
  </r>
  <r>
    <x v="11"/>
    <x v="0"/>
    <n v="213849"/>
    <x v="58"/>
    <x v="0"/>
    <x v="0"/>
    <x v="11"/>
  </r>
  <r>
    <x v="11"/>
    <x v="3"/>
    <n v="218987"/>
    <x v="8"/>
    <x v="0"/>
    <x v="0"/>
    <x v="11"/>
  </r>
  <r>
    <x v="11"/>
    <x v="3"/>
    <n v="205985"/>
    <x v="27"/>
    <x v="0"/>
    <x v="0"/>
    <x v="11"/>
  </r>
  <r>
    <x v="11"/>
    <x v="0"/>
    <n v="217081"/>
    <x v="13"/>
    <x v="1"/>
    <x v="1"/>
    <x v="11"/>
  </r>
  <r>
    <x v="11"/>
    <x v="0"/>
    <n v="217678"/>
    <x v="104"/>
    <x v="2"/>
    <x v="2"/>
    <x v="11"/>
  </r>
  <r>
    <x v="11"/>
    <x v="0"/>
    <n v="300219"/>
    <x v="3"/>
    <x v="1"/>
    <x v="1"/>
    <x v="11"/>
  </r>
  <r>
    <x v="11"/>
    <x v="0"/>
    <n v="217678"/>
    <x v="104"/>
    <x v="0"/>
    <x v="0"/>
    <x v="11"/>
  </r>
  <r>
    <x v="11"/>
    <x v="0"/>
    <n v="217678"/>
    <x v="104"/>
    <x v="1"/>
    <x v="1"/>
    <x v="11"/>
  </r>
  <r>
    <x v="11"/>
    <x v="0"/>
    <n v="210515"/>
    <x v="43"/>
    <x v="2"/>
    <x v="2"/>
    <x v="11"/>
  </r>
  <r>
    <x v="11"/>
    <x v="4"/>
    <n v="205349"/>
    <x v="39"/>
    <x v="1"/>
    <x v="1"/>
    <x v="11"/>
  </r>
  <r>
    <x v="11"/>
    <x v="0"/>
    <n v="218210"/>
    <x v="69"/>
    <x v="0"/>
    <x v="0"/>
    <x v="11"/>
  </r>
  <r>
    <x v="11"/>
    <x v="0"/>
    <n v="207404"/>
    <x v="16"/>
    <x v="2"/>
    <x v="2"/>
    <x v="11"/>
  </r>
  <r>
    <x v="11"/>
    <x v="0"/>
    <n v="207404"/>
    <x v="16"/>
    <x v="0"/>
    <x v="0"/>
    <x v="11"/>
  </r>
  <r>
    <x v="11"/>
    <x v="0"/>
    <n v="203631"/>
    <x v="71"/>
    <x v="2"/>
    <x v="2"/>
    <x v="11"/>
  </r>
  <r>
    <x v="11"/>
    <x v="3"/>
    <n v="218225"/>
    <x v="1"/>
    <x v="1"/>
    <x v="1"/>
    <x v="11"/>
  </r>
  <r>
    <x v="11"/>
    <x v="0"/>
    <n v="203631"/>
    <x v="71"/>
    <x v="0"/>
    <x v="0"/>
    <x v="11"/>
  </r>
  <r>
    <x v="11"/>
    <x v="0"/>
    <n v="321932"/>
    <x v="23"/>
    <x v="1"/>
    <x v="1"/>
    <x v="11"/>
  </r>
  <r>
    <x v="11"/>
    <x v="0"/>
    <n v="321932"/>
    <x v="23"/>
    <x v="2"/>
    <x v="2"/>
    <x v="11"/>
  </r>
  <r>
    <x v="11"/>
    <x v="0"/>
    <n v="218402"/>
    <x v="101"/>
    <x v="1"/>
    <x v="1"/>
    <x v="11"/>
  </r>
  <r>
    <x v="11"/>
    <x v="0"/>
    <n v="218732"/>
    <x v="29"/>
    <x v="2"/>
    <x v="2"/>
    <x v="11"/>
  </r>
  <r>
    <x v="11"/>
    <x v="0"/>
    <n v="218732"/>
    <x v="29"/>
    <x v="0"/>
    <x v="0"/>
    <x v="11"/>
  </r>
  <r>
    <x v="11"/>
    <x v="0"/>
    <n v="206968"/>
    <x v="12"/>
    <x v="1"/>
    <x v="1"/>
    <x v="11"/>
  </r>
  <r>
    <x v="11"/>
    <x v="0"/>
    <n v="218616"/>
    <x v="86"/>
    <x v="1"/>
    <x v="1"/>
    <x v="11"/>
  </r>
  <r>
    <x v="11"/>
    <x v="0"/>
    <n v="206968"/>
    <x v="12"/>
    <x v="2"/>
    <x v="2"/>
    <x v="11"/>
  </r>
  <r>
    <x v="11"/>
    <x v="0"/>
    <n v="161003"/>
    <x v="88"/>
    <x v="2"/>
    <x v="2"/>
    <x v="11"/>
  </r>
  <r>
    <x v="11"/>
    <x v="0"/>
    <n v="218916"/>
    <x v="17"/>
    <x v="1"/>
    <x v="1"/>
    <x v="11"/>
  </r>
  <r>
    <x v="11"/>
    <x v="0"/>
    <n v="205228"/>
    <x v="44"/>
    <x v="1"/>
    <x v="1"/>
    <x v="11"/>
  </r>
  <r>
    <x v="11"/>
    <x v="0"/>
    <n v="161003"/>
    <x v="88"/>
    <x v="0"/>
    <x v="0"/>
    <x v="11"/>
  </r>
  <r>
    <x v="11"/>
    <x v="0"/>
    <n v="218628"/>
    <x v="76"/>
    <x v="0"/>
    <x v="0"/>
    <x v="11"/>
  </r>
  <r>
    <x v="11"/>
    <x v="0"/>
    <n v="117866"/>
    <x v="87"/>
    <x v="2"/>
    <x v="2"/>
    <x v="11"/>
  </r>
  <r>
    <x v="11"/>
    <x v="0"/>
    <n v="117866"/>
    <x v="87"/>
    <x v="0"/>
    <x v="0"/>
    <x v="11"/>
  </r>
  <r>
    <x v="11"/>
    <x v="3"/>
    <n v="218628"/>
    <x v="76"/>
    <x v="1"/>
    <x v="1"/>
    <x v="11"/>
  </r>
  <r>
    <x v="11"/>
    <x v="0"/>
    <n v="312259"/>
    <x v="28"/>
    <x v="2"/>
    <x v="2"/>
    <x v="11"/>
  </r>
  <r>
    <x v="11"/>
    <x v="3"/>
    <n v="205104"/>
    <x v="51"/>
    <x v="1"/>
    <x v="1"/>
    <x v="11"/>
  </r>
  <r>
    <x v="11"/>
    <x v="1"/>
    <n v="218644"/>
    <x v="63"/>
    <x v="0"/>
    <x v="0"/>
    <x v="11"/>
  </r>
  <r>
    <x v="11"/>
    <x v="0"/>
    <n v="218674"/>
    <x v="57"/>
    <x v="2"/>
    <x v="2"/>
    <x v="11"/>
  </r>
  <r>
    <x v="11"/>
    <x v="0"/>
    <n v="218674"/>
    <x v="57"/>
    <x v="0"/>
    <x v="0"/>
    <x v="11"/>
  </r>
  <r>
    <x v="11"/>
    <x v="1"/>
    <n v="218644"/>
    <x v="63"/>
    <x v="1"/>
    <x v="1"/>
    <x v="11"/>
  </r>
  <r>
    <x v="11"/>
    <x v="0"/>
    <n v="210127"/>
    <x v="41"/>
    <x v="2"/>
    <x v="2"/>
    <x v="11"/>
  </r>
  <r>
    <x v="11"/>
    <x v="0"/>
    <n v="210127"/>
    <x v="41"/>
    <x v="0"/>
    <x v="0"/>
    <x v="11"/>
  </r>
  <r>
    <x v="11"/>
    <x v="0"/>
    <n v="205104"/>
    <x v="51"/>
    <x v="2"/>
    <x v="2"/>
    <x v="11"/>
  </r>
  <r>
    <x v="11"/>
    <x v="5"/>
    <n v="218674"/>
    <x v="57"/>
    <x v="1"/>
    <x v="1"/>
    <x v="11"/>
  </r>
  <r>
    <x v="11"/>
    <x v="0"/>
    <n v="205104"/>
    <x v="51"/>
    <x v="0"/>
    <x v="0"/>
    <x v="11"/>
  </r>
  <r>
    <x v="11"/>
    <x v="0"/>
    <n v="218732"/>
    <x v="29"/>
    <x v="1"/>
    <x v="1"/>
    <x v="11"/>
  </r>
  <r>
    <x v="11"/>
    <x v="0"/>
    <n v="204952"/>
    <x v="56"/>
    <x v="1"/>
    <x v="1"/>
    <x v="11"/>
  </r>
  <r>
    <x v="11"/>
    <x v="0"/>
    <n v="218698"/>
    <x v="48"/>
    <x v="1"/>
    <x v="1"/>
    <x v="11"/>
  </r>
  <r>
    <x v="11"/>
    <x v="0"/>
    <n v="204952"/>
    <x v="56"/>
    <x v="2"/>
    <x v="2"/>
    <x v="11"/>
  </r>
  <r>
    <x v="11"/>
    <x v="0"/>
    <n v="204952"/>
    <x v="56"/>
    <x v="0"/>
    <x v="0"/>
    <x v="11"/>
  </r>
  <r>
    <x v="11"/>
    <x v="0"/>
    <n v="204939"/>
    <x v="61"/>
    <x v="1"/>
    <x v="1"/>
    <x v="11"/>
  </r>
  <r>
    <x v="11"/>
    <x v="0"/>
    <n v="214951"/>
    <x v="78"/>
    <x v="2"/>
    <x v="2"/>
    <x v="11"/>
  </r>
  <r>
    <x v="11"/>
    <x v="4"/>
    <n v="204615"/>
    <x v="67"/>
    <x v="1"/>
    <x v="1"/>
    <x v="11"/>
  </r>
  <r>
    <x v="11"/>
    <x v="0"/>
    <n v="214951"/>
    <x v="78"/>
    <x v="0"/>
    <x v="0"/>
    <x v="11"/>
  </r>
  <r>
    <x v="11"/>
    <x v="0"/>
    <n v="203631"/>
    <x v="71"/>
    <x v="1"/>
    <x v="1"/>
    <x v="11"/>
  </r>
  <r>
    <x v="11"/>
    <x v="0"/>
    <n v="300571"/>
    <x v="18"/>
    <x v="0"/>
    <x v="0"/>
    <x v="11"/>
  </r>
  <r>
    <x v="11"/>
    <x v="0"/>
    <n v="217081"/>
    <x v="13"/>
    <x v="2"/>
    <x v="2"/>
    <x v="11"/>
  </r>
  <r>
    <x v="11"/>
    <x v="0"/>
    <n v="169872"/>
    <x v="79"/>
    <x v="1"/>
    <x v="1"/>
    <x v="11"/>
  </r>
  <r>
    <x v="11"/>
    <x v="0"/>
    <n v="217081"/>
    <x v="13"/>
    <x v="0"/>
    <x v="0"/>
    <x v="11"/>
  </r>
  <r>
    <x v="11"/>
    <x v="0"/>
    <n v="209209"/>
    <x v="32"/>
    <x v="2"/>
    <x v="2"/>
    <x v="11"/>
  </r>
  <r>
    <x v="11"/>
    <x v="0"/>
    <n v="169537"/>
    <x v="81"/>
    <x v="1"/>
    <x v="1"/>
    <x v="11"/>
  </r>
  <r>
    <x v="11"/>
    <x v="0"/>
    <n v="209209"/>
    <x v="32"/>
    <x v="0"/>
    <x v="0"/>
    <x v="11"/>
  </r>
  <r>
    <x v="11"/>
    <x v="4"/>
    <n v="168458"/>
    <x v="75"/>
    <x v="1"/>
    <x v="1"/>
    <x v="11"/>
  </r>
  <r>
    <x v="11"/>
    <x v="0"/>
    <n v="206236"/>
    <x v="22"/>
    <x v="2"/>
    <x v="2"/>
    <x v="11"/>
  </r>
  <r>
    <x v="11"/>
    <x v="3"/>
    <n v="161520"/>
    <x v="77"/>
    <x v="1"/>
    <x v="1"/>
    <x v="11"/>
  </r>
  <r>
    <x v="11"/>
    <x v="0"/>
    <n v="206236"/>
    <x v="22"/>
    <x v="0"/>
    <x v="0"/>
    <x v="11"/>
  </r>
  <r>
    <x v="11"/>
    <x v="4"/>
    <n v="161003"/>
    <x v="88"/>
    <x v="1"/>
    <x v="1"/>
    <x v="11"/>
  </r>
  <r>
    <x v="11"/>
    <x v="0"/>
    <n v="300571"/>
    <x v="18"/>
    <x v="1"/>
    <x v="1"/>
    <x v="11"/>
  </r>
  <r>
    <x v="11"/>
    <x v="0"/>
    <n v="218916"/>
    <x v="17"/>
    <x v="2"/>
    <x v="2"/>
    <x v="11"/>
  </r>
  <r>
    <x v="11"/>
    <x v="3"/>
    <n v="160030"/>
    <x v="55"/>
    <x v="1"/>
    <x v="1"/>
    <x v="11"/>
  </r>
  <r>
    <x v="11"/>
    <x v="0"/>
    <n v="218916"/>
    <x v="17"/>
    <x v="0"/>
    <x v="0"/>
    <x v="11"/>
  </r>
  <r>
    <x v="11"/>
    <x v="0"/>
    <n v="314137"/>
    <x v="19"/>
    <x v="1"/>
    <x v="1"/>
    <x v="11"/>
  </r>
  <r>
    <x v="11"/>
    <x v="0"/>
    <n v="158751"/>
    <x v="54"/>
    <x v="1"/>
    <x v="1"/>
    <x v="11"/>
  </r>
  <r>
    <x v="11"/>
    <x v="0"/>
    <n v="314137"/>
    <x v="19"/>
    <x v="2"/>
    <x v="2"/>
    <x v="11"/>
  </r>
  <r>
    <x v="11"/>
    <x v="0"/>
    <n v="149445"/>
    <x v="99"/>
    <x v="2"/>
    <x v="2"/>
    <x v="11"/>
  </r>
  <r>
    <x v="11"/>
    <x v="0"/>
    <n v="158311"/>
    <x v="60"/>
    <x v="1"/>
    <x v="1"/>
    <x v="11"/>
  </r>
  <r>
    <x v="11"/>
    <x v="0"/>
    <n v="149445"/>
    <x v="99"/>
    <x v="0"/>
    <x v="0"/>
    <x v="11"/>
  </r>
  <r>
    <x v="11"/>
    <x v="3"/>
    <n v="149445"/>
    <x v="99"/>
    <x v="1"/>
    <x v="1"/>
    <x v="11"/>
  </r>
  <r>
    <x v="11"/>
    <x v="0"/>
    <n v="204615"/>
    <x v="67"/>
    <x v="2"/>
    <x v="2"/>
    <x v="11"/>
  </r>
  <r>
    <x v="11"/>
    <x v="0"/>
    <n v="144649"/>
    <x v="102"/>
    <x v="1"/>
    <x v="1"/>
    <x v="11"/>
  </r>
  <r>
    <x v="11"/>
    <x v="0"/>
    <n v="300711"/>
    <x v="74"/>
    <x v="1"/>
    <x v="1"/>
    <x v="11"/>
  </r>
  <r>
    <x v="11"/>
    <x v="0"/>
    <n v="204615"/>
    <x v="67"/>
    <x v="0"/>
    <x v="0"/>
    <x v="11"/>
  </r>
  <r>
    <x v="11"/>
    <x v="0"/>
    <n v="169537"/>
    <x v="81"/>
    <x v="2"/>
    <x v="2"/>
    <x v="11"/>
  </r>
  <r>
    <x v="11"/>
    <x v="0"/>
    <n v="144154"/>
    <x v="93"/>
    <x v="1"/>
    <x v="1"/>
    <x v="11"/>
  </r>
  <r>
    <x v="11"/>
    <x v="0"/>
    <n v="169537"/>
    <x v="81"/>
    <x v="0"/>
    <x v="0"/>
    <x v="11"/>
  </r>
  <r>
    <x v="11"/>
    <x v="0"/>
    <n v="144649"/>
    <x v="102"/>
    <x v="2"/>
    <x v="2"/>
    <x v="11"/>
  </r>
  <r>
    <x v="11"/>
    <x v="0"/>
    <n v="140302"/>
    <x v="100"/>
    <x v="1"/>
    <x v="1"/>
    <x v="11"/>
  </r>
  <r>
    <x v="11"/>
    <x v="0"/>
    <n v="144649"/>
    <x v="102"/>
    <x v="0"/>
    <x v="0"/>
    <x v="11"/>
  </r>
  <r>
    <x v="11"/>
    <x v="4"/>
    <n v="131643"/>
    <x v="0"/>
    <x v="1"/>
    <x v="1"/>
    <x v="11"/>
  </r>
  <r>
    <x v="11"/>
    <x v="0"/>
    <n v="216476"/>
    <x v="94"/>
    <x v="2"/>
    <x v="2"/>
    <x v="11"/>
  </r>
  <r>
    <x v="11"/>
    <x v="0"/>
    <n v="216476"/>
    <x v="94"/>
    <x v="0"/>
    <x v="0"/>
    <x v="11"/>
  </r>
  <r>
    <x v="11"/>
    <x v="0"/>
    <n v="130744"/>
    <x v="97"/>
    <x v="1"/>
    <x v="1"/>
    <x v="11"/>
  </r>
  <r>
    <x v="11"/>
    <x v="4"/>
    <n v="300862"/>
    <x v="66"/>
    <x v="1"/>
    <x v="1"/>
    <x v="11"/>
  </r>
  <r>
    <x v="11"/>
    <x v="0"/>
    <n v="218644"/>
    <x v="63"/>
    <x v="2"/>
    <x v="2"/>
    <x v="11"/>
  </r>
  <r>
    <x v="11"/>
    <x v="0"/>
    <n v="205985"/>
    <x v="27"/>
    <x v="2"/>
    <x v="2"/>
    <x v="11"/>
  </r>
  <r>
    <x v="11"/>
    <x v="0"/>
    <n v="120762"/>
    <x v="103"/>
    <x v="1"/>
    <x v="1"/>
    <x v="11"/>
  </r>
  <r>
    <x v="11"/>
    <x v="0"/>
    <n v="302988"/>
    <x v="45"/>
    <x v="2"/>
    <x v="2"/>
    <x v="11"/>
  </r>
  <r>
    <x v="11"/>
    <x v="0"/>
    <n v="302988"/>
    <x v="45"/>
    <x v="0"/>
    <x v="0"/>
    <x v="11"/>
  </r>
  <r>
    <x v="11"/>
    <x v="0"/>
    <n v="301983"/>
    <x v="85"/>
    <x v="2"/>
    <x v="2"/>
    <x v="11"/>
  </r>
  <r>
    <x v="11"/>
    <x v="0"/>
    <n v="120762"/>
    <x v="103"/>
    <x v="0"/>
    <x v="0"/>
    <x v="11"/>
  </r>
  <r>
    <x v="11"/>
    <x v="0"/>
    <n v="315199"/>
    <x v="15"/>
    <x v="2"/>
    <x v="2"/>
    <x v="11"/>
  </r>
  <r>
    <x v="11"/>
    <x v="0"/>
    <n v="118535"/>
    <x v="90"/>
    <x v="1"/>
    <x v="1"/>
    <x v="11"/>
  </r>
  <r>
    <x v="11"/>
    <x v="0"/>
    <n v="315199"/>
    <x v="15"/>
    <x v="0"/>
    <x v="0"/>
    <x v="11"/>
  </r>
  <r>
    <x v="11"/>
    <x v="0"/>
    <n v="218402"/>
    <x v="101"/>
    <x v="2"/>
    <x v="2"/>
    <x v="11"/>
  </r>
  <r>
    <x v="11"/>
    <x v="0"/>
    <n v="117986"/>
    <x v="92"/>
    <x v="1"/>
    <x v="1"/>
    <x v="11"/>
  </r>
  <r>
    <x v="11"/>
    <x v="0"/>
    <n v="218402"/>
    <x v="101"/>
    <x v="0"/>
    <x v="0"/>
    <x v="11"/>
  </r>
  <r>
    <x v="11"/>
    <x v="0"/>
    <n v="218698"/>
    <x v="48"/>
    <x v="2"/>
    <x v="2"/>
    <x v="11"/>
  </r>
  <r>
    <x v="11"/>
    <x v="5"/>
    <n v="117986"/>
    <x v="92"/>
    <x v="2"/>
    <x v="2"/>
    <x v="11"/>
  </r>
  <r>
    <x v="11"/>
    <x v="3"/>
    <n v="300987"/>
    <x v="59"/>
    <x v="1"/>
    <x v="1"/>
    <x v="11"/>
  </r>
  <r>
    <x v="11"/>
    <x v="0"/>
    <n v="218698"/>
    <x v="48"/>
    <x v="0"/>
    <x v="0"/>
    <x v="11"/>
  </r>
  <r>
    <x v="11"/>
    <x v="0"/>
    <n v="140302"/>
    <x v="100"/>
    <x v="2"/>
    <x v="2"/>
    <x v="11"/>
  </r>
  <r>
    <x v="11"/>
    <x v="0"/>
    <n v="117986"/>
    <x v="92"/>
    <x v="0"/>
    <x v="0"/>
    <x v="11"/>
  </r>
  <r>
    <x v="11"/>
    <x v="0"/>
    <n v="140302"/>
    <x v="100"/>
    <x v="0"/>
    <x v="0"/>
    <x v="11"/>
  </r>
  <r>
    <x v="11"/>
    <x v="0"/>
    <n v="302335"/>
    <x v="70"/>
    <x v="2"/>
    <x v="2"/>
    <x v="11"/>
  </r>
  <r>
    <x v="11"/>
    <x v="0"/>
    <n v="301229"/>
    <x v="98"/>
    <x v="1"/>
    <x v="1"/>
    <x v="11"/>
  </r>
  <r>
    <x v="11"/>
    <x v="3"/>
    <n v="117866"/>
    <x v="87"/>
    <x v="1"/>
    <x v="1"/>
    <x v="11"/>
  </r>
  <r>
    <x v="11"/>
    <x v="0"/>
    <n v="301229"/>
    <x v="98"/>
    <x v="2"/>
    <x v="2"/>
    <x v="11"/>
  </r>
  <r>
    <x v="11"/>
    <x v="0"/>
    <n v="130744"/>
    <x v="97"/>
    <x v="2"/>
    <x v="2"/>
    <x v="11"/>
  </r>
  <r>
    <x v="11"/>
    <x v="3"/>
    <n v="117819"/>
    <x v="83"/>
    <x v="1"/>
    <x v="1"/>
    <x v="11"/>
  </r>
  <r>
    <x v="11"/>
    <x v="0"/>
    <n v="130744"/>
    <x v="97"/>
    <x v="0"/>
    <x v="0"/>
    <x v="11"/>
  </r>
  <r>
    <x v="11"/>
    <x v="0"/>
    <n v="117501"/>
    <x v="84"/>
    <x v="1"/>
    <x v="1"/>
    <x v="11"/>
  </r>
  <r>
    <x v="11"/>
    <x v="0"/>
    <n v="117456"/>
    <x v="80"/>
    <x v="1"/>
    <x v="1"/>
    <x v="11"/>
  </r>
  <r>
    <x v="11"/>
    <x v="0"/>
    <n v="117501"/>
    <x v="84"/>
    <x v="2"/>
    <x v="2"/>
    <x v="11"/>
  </r>
  <r>
    <x v="11"/>
    <x v="0"/>
    <n v="117442"/>
    <x v="68"/>
    <x v="1"/>
    <x v="1"/>
    <x v="11"/>
  </r>
  <r>
    <x v="11"/>
    <x v="0"/>
    <n v="301229"/>
    <x v="98"/>
    <x v="0"/>
    <x v="0"/>
    <x v="11"/>
  </r>
  <r>
    <x v="11"/>
    <x v="0"/>
    <n v="117501"/>
    <x v="84"/>
    <x v="0"/>
    <x v="0"/>
    <x v="11"/>
  </r>
  <r>
    <x v="11"/>
    <x v="0"/>
    <n v="117230"/>
    <x v="73"/>
    <x v="1"/>
    <x v="1"/>
    <x v="11"/>
  </r>
  <r>
    <x v="11"/>
    <x v="0"/>
    <n v="2737"/>
    <x v="62"/>
    <x v="2"/>
    <x v="2"/>
    <x v="11"/>
  </r>
  <r>
    <x v="11"/>
    <x v="0"/>
    <n v="216566"/>
    <x v="96"/>
    <x v="2"/>
    <x v="2"/>
    <x v="11"/>
  </r>
  <r>
    <x v="11"/>
    <x v="0"/>
    <n v="216566"/>
    <x v="96"/>
    <x v="0"/>
    <x v="0"/>
    <x v="11"/>
  </r>
  <r>
    <x v="11"/>
    <x v="0"/>
    <n v="2737"/>
    <x v="62"/>
    <x v="1"/>
    <x v="1"/>
    <x v="11"/>
  </r>
  <r>
    <x v="11"/>
    <x v="0"/>
    <n v="204939"/>
    <x v="61"/>
    <x v="2"/>
    <x v="2"/>
    <x v="11"/>
  </r>
  <r>
    <x v="11"/>
    <x v="0"/>
    <n v="204939"/>
    <x v="61"/>
    <x v="0"/>
    <x v="0"/>
    <x v="11"/>
  </r>
  <r>
    <x v="11"/>
    <x v="0"/>
    <n v="2737"/>
    <x v="62"/>
    <x v="0"/>
    <x v="0"/>
    <x v="11"/>
  </r>
  <r>
    <x v="11"/>
    <x v="0"/>
    <n v="317470"/>
    <x v="10"/>
    <x v="2"/>
    <x v="2"/>
    <x v="11"/>
  </r>
  <r>
    <x v="11"/>
    <x v="0"/>
    <n v="303219"/>
    <x v="40"/>
    <x v="2"/>
    <x v="2"/>
    <x v="11"/>
  </r>
  <r>
    <x v="11"/>
    <x v="0"/>
    <n v="1733"/>
    <x v="37"/>
    <x v="1"/>
    <x v="1"/>
    <x v="11"/>
  </r>
  <r>
    <x v="11"/>
    <x v="0"/>
    <n v="303219"/>
    <x v="40"/>
    <x v="0"/>
    <x v="0"/>
    <x v="11"/>
  </r>
  <r>
    <x v="11"/>
    <x v="0"/>
    <n v="303189"/>
    <x v="42"/>
    <x v="2"/>
    <x v="2"/>
    <x v="11"/>
  </r>
  <r>
    <x v="11"/>
    <x v="4"/>
    <n v="1733"/>
    <x v="37"/>
    <x v="2"/>
    <x v="2"/>
    <x v="11"/>
  </r>
  <r>
    <x v="11"/>
    <x v="0"/>
    <n v="301760"/>
    <x v="89"/>
    <x v="0"/>
    <x v="0"/>
    <x v="11"/>
  </r>
  <r>
    <x v="11"/>
    <x v="0"/>
    <n v="303189"/>
    <x v="42"/>
    <x v="0"/>
    <x v="0"/>
    <x v="11"/>
  </r>
  <r>
    <x v="11"/>
    <x v="0"/>
    <n v="301809"/>
    <x v="95"/>
    <x v="1"/>
    <x v="1"/>
    <x v="11"/>
  </r>
  <r>
    <x v="11"/>
    <x v="0"/>
    <n v="1733"/>
    <x v="37"/>
    <x v="0"/>
    <x v="0"/>
    <x v="11"/>
  </r>
  <r>
    <x v="11"/>
    <x v="0"/>
    <n v="301809"/>
    <x v="95"/>
    <x v="2"/>
    <x v="2"/>
    <x v="11"/>
  </r>
  <r>
    <x v="11"/>
    <x v="0"/>
    <n v="144154"/>
    <x v="93"/>
    <x v="2"/>
    <x v="2"/>
    <x v="11"/>
  </r>
  <r>
    <x v="11"/>
    <x v="0"/>
    <n v="144154"/>
    <x v="93"/>
    <x v="0"/>
    <x v="0"/>
    <x v="11"/>
  </r>
  <r>
    <x v="11"/>
    <x v="0"/>
    <n v="686"/>
    <x v="26"/>
    <x v="1"/>
    <x v="1"/>
    <x v="11"/>
  </r>
  <r>
    <x v="11"/>
    <x v="0"/>
    <n v="300363"/>
    <x v="11"/>
    <x v="1"/>
    <x v="1"/>
    <x v="11"/>
  </r>
  <r>
    <x v="11"/>
    <x v="0"/>
    <n v="300363"/>
    <x v="11"/>
    <x v="2"/>
    <x v="2"/>
    <x v="11"/>
  </r>
  <r>
    <x v="11"/>
    <x v="0"/>
    <n v="300363"/>
    <x v="11"/>
    <x v="0"/>
    <x v="0"/>
    <x v="11"/>
  </r>
  <r>
    <x v="11"/>
    <x v="3"/>
    <n v="507"/>
    <x v="9"/>
    <x v="1"/>
    <x v="1"/>
    <x v="11"/>
  </r>
  <r>
    <x v="11"/>
    <x v="0"/>
    <n v="507"/>
    <x v="9"/>
    <x v="0"/>
    <x v="0"/>
    <x v="11"/>
  </r>
  <r>
    <x v="11"/>
    <x v="0"/>
    <n v="301760"/>
    <x v="89"/>
    <x v="1"/>
    <x v="1"/>
    <x v="11"/>
  </r>
  <r>
    <x v="11"/>
    <x v="0"/>
    <n v="312807"/>
    <x v="21"/>
    <x v="1"/>
    <x v="1"/>
    <x v="11"/>
  </r>
  <r>
    <x v="11"/>
    <x v="0"/>
    <n v="312807"/>
    <x v="21"/>
    <x v="2"/>
    <x v="2"/>
    <x v="11"/>
  </r>
  <r>
    <x v="11"/>
    <x v="0"/>
    <n v="301805"/>
    <x v="64"/>
    <x v="0"/>
    <x v="0"/>
    <x v="11"/>
  </r>
  <r>
    <x v="11"/>
    <x v="0"/>
    <n v="303221"/>
    <x v="38"/>
    <x v="2"/>
    <x v="2"/>
    <x v="11"/>
  </r>
  <r>
    <x v="11"/>
    <x v="0"/>
    <n v="303221"/>
    <x v="38"/>
    <x v="0"/>
    <x v="0"/>
    <x v="11"/>
  </r>
  <r>
    <x v="11"/>
    <x v="0"/>
    <n v="301809"/>
    <x v="95"/>
    <x v="0"/>
    <x v="0"/>
    <x v="11"/>
  </r>
  <r>
    <x v="11"/>
    <x v="0"/>
    <n v="302769"/>
    <x v="49"/>
    <x v="2"/>
    <x v="2"/>
    <x v="11"/>
  </r>
  <r>
    <x v="11"/>
    <x v="0"/>
    <n v="301920"/>
    <x v="91"/>
    <x v="1"/>
    <x v="1"/>
    <x v="11"/>
  </r>
  <r>
    <x v="11"/>
    <x v="0"/>
    <n v="302769"/>
    <x v="49"/>
    <x v="0"/>
    <x v="0"/>
    <x v="11"/>
  </r>
  <r>
    <x v="11"/>
    <x v="0"/>
    <n v="301920"/>
    <x v="91"/>
    <x v="2"/>
    <x v="2"/>
    <x v="11"/>
  </r>
  <r>
    <x v="11"/>
    <x v="0"/>
    <n v="301983"/>
    <x v="85"/>
    <x v="0"/>
    <x v="0"/>
    <x v="11"/>
  </r>
  <r>
    <x v="11"/>
    <x v="0"/>
    <n v="301920"/>
    <x v="91"/>
    <x v="0"/>
    <x v="0"/>
    <x v="11"/>
  </r>
  <r>
    <x v="11"/>
    <x v="0"/>
    <n v="301983"/>
    <x v="85"/>
    <x v="1"/>
    <x v="1"/>
    <x v="11"/>
  </r>
  <r>
    <x v="11"/>
    <x v="0"/>
    <n v="210001"/>
    <x v="36"/>
    <x v="2"/>
    <x v="2"/>
    <x v="11"/>
  </r>
  <r>
    <x v="11"/>
    <x v="1"/>
    <n v="324108"/>
    <x v="35"/>
    <x v="1"/>
    <x v="1"/>
    <x v="11"/>
  </r>
  <r>
    <x v="11"/>
    <x v="3"/>
    <n v="302335"/>
    <x v="70"/>
    <x v="0"/>
    <x v="0"/>
    <x v="11"/>
  </r>
  <r>
    <x v="11"/>
    <x v="0"/>
    <n v="120762"/>
    <x v="103"/>
    <x v="2"/>
    <x v="2"/>
    <x v="11"/>
  </r>
  <r>
    <x v="11"/>
    <x v="1"/>
    <n v="324108"/>
    <x v="35"/>
    <x v="2"/>
    <x v="2"/>
    <x v="11"/>
  </r>
  <r>
    <x v="11"/>
    <x v="0"/>
    <n v="118535"/>
    <x v="90"/>
    <x v="2"/>
    <x v="2"/>
    <x v="11"/>
  </r>
  <r>
    <x v="11"/>
    <x v="0"/>
    <n v="118535"/>
    <x v="90"/>
    <x v="0"/>
    <x v="0"/>
    <x v="11"/>
  </r>
  <r>
    <x v="11"/>
    <x v="0"/>
    <n v="316879"/>
    <x v="2"/>
    <x v="1"/>
    <x v="1"/>
    <x v="11"/>
  </r>
  <r>
    <x v="11"/>
    <x v="1"/>
    <n v="324108"/>
    <x v="35"/>
    <x v="0"/>
    <x v="0"/>
    <x v="11"/>
  </r>
  <r>
    <x v="11"/>
    <x v="0"/>
    <n v="302335"/>
    <x v="70"/>
    <x v="1"/>
    <x v="1"/>
    <x v="11"/>
  </r>
  <r>
    <x v="11"/>
    <x v="0"/>
    <n v="316879"/>
    <x v="2"/>
    <x v="2"/>
    <x v="2"/>
    <x v="11"/>
  </r>
  <r>
    <x v="11"/>
    <x v="0"/>
    <n v="301760"/>
    <x v="89"/>
    <x v="2"/>
    <x v="2"/>
    <x v="11"/>
  </r>
  <r>
    <x v="11"/>
    <x v="0"/>
    <n v="321932"/>
    <x v="23"/>
    <x v="0"/>
    <x v="0"/>
    <x v="11"/>
  </r>
  <r>
    <x v="11"/>
    <x v="0"/>
    <n v="300711"/>
    <x v="74"/>
    <x v="2"/>
    <x v="2"/>
    <x v="11"/>
  </r>
  <r>
    <x v="11"/>
    <x v="0"/>
    <n v="300711"/>
    <x v="74"/>
    <x v="0"/>
    <x v="0"/>
    <x v="11"/>
  </r>
  <r>
    <x v="11"/>
    <x v="0"/>
    <n v="209211"/>
    <x v="33"/>
    <x v="2"/>
    <x v="2"/>
    <x v="11"/>
  </r>
  <r>
    <x v="11"/>
    <x v="0"/>
    <n v="317470"/>
    <x v="10"/>
    <x v="1"/>
    <x v="1"/>
    <x v="11"/>
  </r>
  <r>
    <x v="11"/>
    <x v="0"/>
    <n v="302737"/>
    <x v="52"/>
    <x v="0"/>
    <x v="0"/>
    <x v="11"/>
  </r>
  <r>
    <x v="11"/>
    <x v="0"/>
    <n v="209211"/>
    <x v="33"/>
    <x v="0"/>
    <x v="0"/>
    <x v="11"/>
  </r>
  <r>
    <x v="11"/>
    <x v="0"/>
    <n v="317470"/>
    <x v="10"/>
    <x v="0"/>
    <x v="0"/>
    <x v="11"/>
  </r>
  <r>
    <x v="11"/>
    <x v="0"/>
    <n v="312617"/>
    <x v="24"/>
    <x v="2"/>
    <x v="2"/>
    <x v="11"/>
  </r>
  <r>
    <x v="11"/>
    <x v="0"/>
    <n v="323608"/>
    <x v="31"/>
    <x v="1"/>
    <x v="1"/>
    <x v="11"/>
  </r>
  <r>
    <x v="11"/>
    <x v="1"/>
    <n v="316879"/>
    <x v="2"/>
    <x v="0"/>
    <x v="0"/>
    <x v="11"/>
  </r>
  <r>
    <x v="11"/>
    <x v="3"/>
    <n v="302737"/>
    <x v="52"/>
    <x v="1"/>
    <x v="1"/>
    <x v="11"/>
  </r>
  <r>
    <x v="11"/>
    <x v="0"/>
    <n v="323608"/>
    <x v="31"/>
    <x v="2"/>
    <x v="2"/>
    <x v="11"/>
  </r>
  <r>
    <x v="11"/>
    <x v="0"/>
    <n v="323608"/>
    <x v="31"/>
    <x v="0"/>
    <x v="0"/>
    <x v="11"/>
  </r>
  <r>
    <x v="11"/>
    <x v="0"/>
    <n v="316646"/>
    <x v="6"/>
    <x v="1"/>
    <x v="1"/>
    <x v="11"/>
  </r>
  <r>
    <x v="11"/>
    <x v="4"/>
    <n v="302769"/>
    <x v="49"/>
    <x v="1"/>
    <x v="1"/>
    <x v="11"/>
  </r>
  <r>
    <x v="11"/>
    <x v="0"/>
    <n v="218616"/>
    <x v="86"/>
    <x v="2"/>
    <x v="2"/>
    <x v="11"/>
  </r>
  <r>
    <x v="11"/>
    <x v="0"/>
    <n v="316646"/>
    <x v="6"/>
    <x v="0"/>
    <x v="0"/>
    <x v="11"/>
  </r>
  <r>
    <x v="11"/>
    <x v="0"/>
    <n v="218616"/>
    <x v="86"/>
    <x v="0"/>
    <x v="0"/>
    <x v="11"/>
  </r>
  <r>
    <x v="11"/>
    <x v="0"/>
    <n v="211470"/>
    <x v="53"/>
    <x v="2"/>
    <x v="2"/>
    <x v="11"/>
  </r>
  <r>
    <x v="11"/>
    <x v="0"/>
    <n v="211470"/>
    <x v="53"/>
    <x v="0"/>
    <x v="0"/>
    <x v="11"/>
  </r>
  <r>
    <x v="11"/>
    <x v="3"/>
    <n v="315199"/>
    <x v="15"/>
    <x v="1"/>
    <x v="1"/>
    <x v="11"/>
  </r>
  <r>
    <x v="11"/>
    <x v="0"/>
    <n v="302856"/>
    <x v="46"/>
    <x v="0"/>
    <x v="0"/>
    <x v="11"/>
  </r>
  <r>
    <x v="11"/>
    <x v="0"/>
    <n v="209208"/>
    <x v="30"/>
    <x v="2"/>
    <x v="2"/>
    <x v="11"/>
  </r>
  <r>
    <x v="11"/>
    <x v="0"/>
    <n v="209208"/>
    <x v="30"/>
    <x v="0"/>
    <x v="0"/>
    <x v="11"/>
  </r>
  <r>
    <x v="11"/>
    <x v="0"/>
    <n v="117819"/>
    <x v="83"/>
    <x v="2"/>
    <x v="2"/>
    <x v="11"/>
  </r>
  <r>
    <x v="11"/>
    <x v="0"/>
    <n v="314137"/>
    <x v="19"/>
    <x v="0"/>
    <x v="0"/>
    <x v="11"/>
  </r>
  <r>
    <x v="11"/>
    <x v="0"/>
    <n v="117819"/>
    <x v="83"/>
    <x v="0"/>
    <x v="0"/>
    <x v="11"/>
  </r>
  <r>
    <x v="11"/>
    <x v="0"/>
    <n v="686"/>
    <x v="26"/>
    <x v="2"/>
    <x v="2"/>
    <x v="11"/>
  </r>
  <r>
    <x v="11"/>
    <x v="0"/>
    <n v="312807"/>
    <x v="21"/>
    <x v="0"/>
    <x v="0"/>
    <x v="11"/>
  </r>
  <r>
    <x v="11"/>
    <x v="3"/>
    <n v="302988"/>
    <x v="45"/>
    <x v="1"/>
    <x v="1"/>
    <x v="11"/>
  </r>
  <r>
    <x v="11"/>
    <x v="0"/>
    <n v="686"/>
    <x v="26"/>
    <x v="0"/>
    <x v="0"/>
    <x v="11"/>
  </r>
  <r>
    <x v="11"/>
    <x v="0"/>
    <n v="302856"/>
    <x v="46"/>
    <x v="1"/>
    <x v="1"/>
    <x v="11"/>
  </r>
  <r>
    <x v="11"/>
    <x v="0"/>
    <n v="302856"/>
    <x v="46"/>
    <x v="2"/>
    <x v="2"/>
    <x v="11"/>
  </r>
  <r>
    <x v="11"/>
    <x v="0"/>
    <n v="312617"/>
    <x v="24"/>
    <x v="1"/>
    <x v="1"/>
    <x v="11"/>
  </r>
  <r>
    <x v="11"/>
    <x v="0"/>
    <n v="303189"/>
    <x v="42"/>
    <x v="1"/>
    <x v="1"/>
    <x v="11"/>
  </r>
  <r>
    <x v="11"/>
    <x v="0"/>
    <n v="311895"/>
    <x v="34"/>
    <x v="2"/>
    <x v="2"/>
    <x v="11"/>
  </r>
  <r>
    <x v="11"/>
    <x v="0"/>
    <n v="311895"/>
    <x v="34"/>
    <x v="0"/>
    <x v="0"/>
    <x v="11"/>
  </r>
  <r>
    <x v="11"/>
    <x v="0"/>
    <n v="312617"/>
    <x v="24"/>
    <x v="0"/>
    <x v="0"/>
    <x v="11"/>
  </r>
  <r>
    <x v="11"/>
    <x v="0"/>
    <n v="211622"/>
    <x v="82"/>
    <x v="1"/>
    <x v="1"/>
    <x v="11"/>
  </r>
  <r>
    <x v="11"/>
    <x v="0"/>
    <n v="211622"/>
    <x v="82"/>
    <x v="2"/>
    <x v="2"/>
    <x v="11"/>
  </r>
  <r>
    <x v="11"/>
    <x v="0"/>
    <n v="312259"/>
    <x v="28"/>
    <x v="1"/>
    <x v="1"/>
    <x v="11"/>
  </r>
  <r>
    <x v="11"/>
    <x v="3"/>
    <n v="303219"/>
    <x v="40"/>
    <x v="1"/>
    <x v="1"/>
    <x v="11"/>
  </r>
  <r>
    <x v="11"/>
    <x v="0"/>
    <n v="211622"/>
    <x v="82"/>
    <x v="0"/>
    <x v="0"/>
    <x v="11"/>
  </r>
  <r>
    <x v="11"/>
    <x v="0"/>
    <n v="208277"/>
    <x v="25"/>
    <x v="2"/>
    <x v="2"/>
    <x v="11"/>
  </r>
  <r>
    <x v="11"/>
    <x v="0"/>
    <n v="312259"/>
    <x v="28"/>
    <x v="0"/>
    <x v="0"/>
    <x v="11"/>
  </r>
  <r>
    <x v="11"/>
    <x v="0"/>
    <n v="169872"/>
    <x v="79"/>
    <x v="2"/>
    <x v="2"/>
    <x v="11"/>
  </r>
  <r>
    <x v="11"/>
    <x v="0"/>
    <n v="169872"/>
    <x v="79"/>
    <x v="0"/>
    <x v="0"/>
    <x v="11"/>
  </r>
  <r>
    <x v="11"/>
    <x v="0"/>
    <n v="210557"/>
    <x v="47"/>
    <x v="2"/>
    <x v="2"/>
    <x v="11"/>
  </r>
  <r>
    <x v="11"/>
    <x v="0"/>
    <n v="311895"/>
    <x v="34"/>
    <x v="1"/>
    <x v="1"/>
    <x v="11"/>
  </r>
  <r>
    <x v="11"/>
    <x v="3"/>
    <n v="303221"/>
    <x v="38"/>
    <x v="1"/>
    <x v="1"/>
    <x v="11"/>
  </r>
  <r>
    <x v="11"/>
    <x v="0"/>
    <n v="210557"/>
    <x v="47"/>
    <x v="0"/>
    <x v="0"/>
    <x v="11"/>
  </r>
  <r>
    <x v="11"/>
    <x v="0"/>
    <n v="300169"/>
    <x v="5"/>
    <x v="2"/>
    <x v="2"/>
    <x v="11"/>
  </r>
  <r>
    <x v="11"/>
    <x v="0"/>
    <n v="117230"/>
    <x v="73"/>
    <x v="2"/>
    <x v="2"/>
    <x v="11"/>
  </r>
  <r>
    <x v="12"/>
    <x v="0"/>
    <n v="301760"/>
    <x v="89"/>
    <x v="1"/>
    <x v="1"/>
    <x v="12"/>
  </r>
  <r>
    <x v="12"/>
    <x v="0"/>
    <n v="314137"/>
    <x v="19"/>
    <x v="1"/>
    <x v="1"/>
    <x v="12"/>
  </r>
  <r>
    <x v="12"/>
    <x v="5"/>
    <n v="303221"/>
    <x v="38"/>
    <x v="1"/>
    <x v="1"/>
    <x v="12"/>
  </r>
  <r>
    <x v="12"/>
    <x v="0"/>
    <n v="311895"/>
    <x v="34"/>
    <x v="1"/>
    <x v="1"/>
    <x v="12"/>
  </r>
  <r>
    <x v="12"/>
    <x v="0"/>
    <n v="300987"/>
    <x v="59"/>
    <x v="2"/>
    <x v="2"/>
    <x v="12"/>
  </r>
  <r>
    <x v="12"/>
    <x v="0"/>
    <n v="300987"/>
    <x v="59"/>
    <x v="0"/>
    <x v="0"/>
    <x v="12"/>
  </r>
  <r>
    <x v="12"/>
    <x v="0"/>
    <n v="312259"/>
    <x v="28"/>
    <x v="0"/>
    <x v="0"/>
    <x v="12"/>
  </r>
  <r>
    <x v="12"/>
    <x v="3"/>
    <n v="303219"/>
    <x v="40"/>
    <x v="1"/>
    <x v="1"/>
    <x v="12"/>
  </r>
  <r>
    <x v="12"/>
    <x v="0"/>
    <n v="312259"/>
    <x v="28"/>
    <x v="1"/>
    <x v="1"/>
    <x v="12"/>
  </r>
  <r>
    <x v="12"/>
    <x v="0"/>
    <n v="303189"/>
    <x v="42"/>
    <x v="1"/>
    <x v="1"/>
    <x v="12"/>
  </r>
  <r>
    <x v="12"/>
    <x v="0"/>
    <n v="312617"/>
    <x v="24"/>
    <x v="0"/>
    <x v="0"/>
    <x v="12"/>
  </r>
  <r>
    <x v="12"/>
    <x v="0"/>
    <n v="158751"/>
    <x v="54"/>
    <x v="2"/>
    <x v="2"/>
    <x v="12"/>
  </r>
  <r>
    <x v="12"/>
    <x v="0"/>
    <n v="312617"/>
    <x v="24"/>
    <x v="1"/>
    <x v="1"/>
    <x v="12"/>
  </r>
  <r>
    <x v="12"/>
    <x v="0"/>
    <n v="158751"/>
    <x v="54"/>
    <x v="0"/>
    <x v="0"/>
    <x v="12"/>
  </r>
  <r>
    <x v="12"/>
    <x v="3"/>
    <n v="302988"/>
    <x v="45"/>
    <x v="1"/>
    <x v="1"/>
    <x v="12"/>
  </r>
  <r>
    <x v="12"/>
    <x v="0"/>
    <n v="312807"/>
    <x v="21"/>
    <x v="0"/>
    <x v="0"/>
    <x v="12"/>
  </r>
  <r>
    <x v="12"/>
    <x v="0"/>
    <n v="300219"/>
    <x v="3"/>
    <x v="2"/>
    <x v="2"/>
    <x v="12"/>
  </r>
  <r>
    <x v="12"/>
    <x v="0"/>
    <n v="314137"/>
    <x v="19"/>
    <x v="0"/>
    <x v="0"/>
    <x v="12"/>
  </r>
  <r>
    <x v="12"/>
    <x v="0"/>
    <n v="300219"/>
    <x v="3"/>
    <x v="0"/>
    <x v="0"/>
    <x v="12"/>
  </r>
  <r>
    <x v="12"/>
    <x v="0"/>
    <n v="302856"/>
    <x v="46"/>
    <x v="0"/>
    <x v="0"/>
    <x v="12"/>
  </r>
  <r>
    <x v="12"/>
    <x v="5"/>
    <n v="315199"/>
    <x v="15"/>
    <x v="1"/>
    <x v="1"/>
    <x v="12"/>
  </r>
  <r>
    <x v="12"/>
    <x v="0"/>
    <n v="213849"/>
    <x v="58"/>
    <x v="2"/>
    <x v="2"/>
    <x v="12"/>
  </r>
  <r>
    <x v="12"/>
    <x v="4"/>
    <n v="302769"/>
    <x v="49"/>
    <x v="1"/>
    <x v="1"/>
    <x v="12"/>
  </r>
  <r>
    <x v="12"/>
    <x v="0"/>
    <n v="316646"/>
    <x v="6"/>
    <x v="0"/>
    <x v="0"/>
    <x v="12"/>
  </r>
  <r>
    <x v="12"/>
    <x v="0"/>
    <n v="316646"/>
    <x v="6"/>
    <x v="1"/>
    <x v="1"/>
    <x v="12"/>
  </r>
  <r>
    <x v="12"/>
    <x v="3"/>
    <n v="302737"/>
    <x v="52"/>
    <x v="1"/>
    <x v="1"/>
    <x v="12"/>
  </r>
  <r>
    <x v="12"/>
    <x v="1"/>
    <n v="316879"/>
    <x v="2"/>
    <x v="0"/>
    <x v="0"/>
    <x v="12"/>
  </r>
  <r>
    <x v="12"/>
    <x v="0"/>
    <n v="302737"/>
    <x v="52"/>
    <x v="0"/>
    <x v="0"/>
    <x v="12"/>
  </r>
  <r>
    <x v="12"/>
    <x v="0"/>
    <n v="317470"/>
    <x v="10"/>
    <x v="0"/>
    <x v="0"/>
    <x v="12"/>
  </r>
  <r>
    <x v="12"/>
    <x v="0"/>
    <n v="317470"/>
    <x v="10"/>
    <x v="1"/>
    <x v="1"/>
    <x v="12"/>
  </r>
  <r>
    <x v="12"/>
    <x v="0"/>
    <n v="213849"/>
    <x v="58"/>
    <x v="0"/>
    <x v="0"/>
    <x v="12"/>
  </r>
  <r>
    <x v="12"/>
    <x v="0"/>
    <n v="302335"/>
    <x v="70"/>
    <x v="1"/>
    <x v="1"/>
    <x v="12"/>
  </r>
  <r>
    <x v="12"/>
    <x v="0"/>
    <n v="321932"/>
    <x v="23"/>
    <x v="0"/>
    <x v="0"/>
    <x v="12"/>
  </r>
  <r>
    <x v="12"/>
    <x v="0"/>
    <n v="206298"/>
    <x v="14"/>
    <x v="2"/>
    <x v="2"/>
    <x v="12"/>
  </r>
  <r>
    <x v="12"/>
    <x v="1"/>
    <n v="324108"/>
    <x v="35"/>
    <x v="0"/>
    <x v="0"/>
    <x v="12"/>
  </r>
  <r>
    <x v="12"/>
    <x v="0"/>
    <n v="206298"/>
    <x v="14"/>
    <x v="0"/>
    <x v="0"/>
    <x v="12"/>
  </r>
  <r>
    <x v="12"/>
    <x v="3"/>
    <n v="302335"/>
    <x v="70"/>
    <x v="0"/>
    <x v="0"/>
    <x v="12"/>
  </r>
  <r>
    <x v="12"/>
    <x v="1"/>
    <n v="324108"/>
    <x v="35"/>
    <x v="2"/>
    <x v="2"/>
    <x v="12"/>
  </r>
  <r>
    <x v="12"/>
    <x v="0"/>
    <n v="301983"/>
    <x v="85"/>
    <x v="1"/>
    <x v="1"/>
    <x v="12"/>
  </r>
  <r>
    <x v="12"/>
    <x v="0"/>
    <n v="301983"/>
    <x v="85"/>
    <x v="0"/>
    <x v="0"/>
    <x v="12"/>
  </r>
  <r>
    <x v="12"/>
    <x v="0"/>
    <n v="205228"/>
    <x v="44"/>
    <x v="2"/>
    <x v="2"/>
    <x v="12"/>
  </r>
  <r>
    <x v="12"/>
    <x v="0"/>
    <n v="301920"/>
    <x v="91"/>
    <x v="1"/>
    <x v="1"/>
    <x v="12"/>
  </r>
  <r>
    <x v="12"/>
    <x v="0"/>
    <n v="301809"/>
    <x v="95"/>
    <x v="0"/>
    <x v="0"/>
    <x v="12"/>
  </r>
  <r>
    <x v="12"/>
    <x v="0"/>
    <n v="205228"/>
    <x v="44"/>
    <x v="0"/>
    <x v="0"/>
    <x v="12"/>
  </r>
  <r>
    <x v="12"/>
    <x v="0"/>
    <n v="301805"/>
    <x v="64"/>
    <x v="0"/>
    <x v="0"/>
    <x v="12"/>
  </r>
  <r>
    <x v="12"/>
    <x v="0"/>
    <n v="160030"/>
    <x v="55"/>
    <x v="2"/>
    <x v="2"/>
    <x v="12"/>
  </r>
  <r>
    <x v="12"/>
    <x v="3"/>
    <n v="207404"/>
    <x v="16"/>
    <x v="1"/>
    <x v="1"/>
    <x v="12"/>
  </r>
  <r>
    <x v="12"/>
    <x v="3"/>
    <n v="507"/>
    <x v="9"/>
    <x v="1"/>
    <x v="1"/>
    <x v="12"/>
  </r>
  <r>
    <x v="12"/>
    <x v="0"/>
    <n v="160030"/>
    <x v="55"/>
    <x v="0"/>
    <x v="0"/>
    <x v="12"/>
  </r>
  <r>
    <x v="12"/>
    <x v="0"/>
    <n v="217678"/>
    <x v="104"/>
    <x v="2"/>
    <x v="2"/>
    <x v="12"/>
  </r>
  <r>
    <x v="12"/>
    <x v="0"/>
    <n v="686"/>
    <x v="26"/>
    <x v="1"/>
    <x v="1"/>
    <x v="12"/>
  </r>
  <r>
    <x v="12"/>
    <x v="0"/>
    <n v="217678"/>
    <x v="104"/>
    <x v="0"/>
    <x v="0"/>
    <x v="12"/>
  </r>
  <r>
    <x v="12"/>
    <x v="0"/>
    <n v="301760"/>
    <x v="89"/>
    <x v="0"/>
    <x v="0"/>
    <x v="12"/>
  </r>
  <r>
    <x v="12"/>
    <x v="0"/>
    <n v="1733"/>
    <x v="37"/>
    <x v="0"/>
    <x v="0"/>
    <x v="12"/>
  </r>
  <r>
    <x v="12"/>
    <x v="0"/>
    <n v="210515"/>
    <x v="43"/>
    <x v="2"/>
    <x v="2"/>
    <x v="12"/>
  </r>
  <r>
    <x v="12"/>
    <x v="4"/>
    <n v="1733"/>
    <x v="37"/>
    <x v="2"/>
    <x v="2"/>
    <x v="12"/>
  </r>
  <r>
    <x v="12"/>
    <x v="0"/>
    <n v="207404"/>
    <x v="16"/>
    <x v="2"/>
    <x v="2"/>
    <x v="12"/>
  </r>
  <r>
    <x v="12"/>
    <x v="0"/>
    <n v="1733"/>
    <x v="37"/>
    <x v="1"/>
    <x v="1"/>
    <x v="12"/>
  </r>
  <r>
    <x v="12"/>
    <x v="0"/>
    <n v="207404"/>
    <x v="16"/>
    <x v="0"/>
    <x v="0"/>
    <x v="12"/>
  </r>
  <r>
    <x v="12"/>
    <x v="0"/>
    <n v="2737"/>
    <x v="62"/>
    <x v="0"/>
    <x v="0"/>
    <x v="12"/>
  </r>
  <r>
    <x v="12"/>
    <x v="0"/>
    <n v="203631"/>
    <x v="71"/>
    <x v="2"/>
    <x v="2"/>
    <x v="12"/>
  </r>
  <r>
    <x v="12"/>
    <x v="0"/>
    <n v="2737"/>
    <x v="62"/>
    <x v="1"/>
    <x v="1"/>
    <x v="12"/>
  </r>
  <r>
    <x v="12"/>
    <x v="0"/>
    <n v="203631"/>
    <x v="71"/>
    <x v="0"/>
    <x v="0"/>
    <x v="12"/>
  </r>
  <r>
    <x v="12"/>
    <x v="0"/>
    <n v="301229"/>
    <x v="98"/>
    <x v="0"/>
    <x v="0"/>
    <x v="12"/>
  </r>
  <r>
    <x v="12"/>
    <x v="0"/>
    <n v="117230"/>
    <x v="73"/>
    <x v="1"/>
    <x v="1"/>
    <x v="12"/>
  </r>
  <r>
    <x v="12"/>
    <x v="0"/>
    <n v="117442"/>
    <x v="68"/>
    <x v="1"/>
    <x v="1"/>
    <x v="12"/>
  </r>
  <r>
    <x v="12"/>
    <x v="1"/>
    <n v="324108"/>
    <x v="35"/>
    <x v="1"/>
    <x v="1"/>
    <x v="12"/>
  </r>
  <r>
    <x v="12"/>
    <x v="0"/>
    <n v="117456"/>
    <x v="80"/>
    <x v="1"/>
    <x v="1"/>
    <x v="12"/>
  </r>
  <r>
    <x v="12"/>
    <x v="3"/>
    <n v="117819"/>
    <x v="83"/>
    <x v="1"/>
    <x v="1"/>
    <x v="12"/>
  </r>
  <r>
    <x v="12"/>
    <x v="0"/>
    <n v="321932"/>
    <x v="23"/>
    <x v="1"/>
    <x v="1"/>
    <x v="12"/>
  </r>
  <r>
    <x v="12"/>
    <x v="3"/>
    <n v="117866"/>
    <x v="87"/>
    <x v="1"/>
    <x v="1"/>
    <x v="12"/>
  </r>
  <r>
    <x v="12"/>
    <x v="0"/>
    <n v="321932"/>
    <x v="23"/>
    <x v="2"/>
    <x v="2"/>
    <x v="12"/>
  </r>
  <r>
    <x v="12"/>
    <x v="3"/>
    <n v="300987"/>
    <x v="59"/>
    <x v="1"/>
    <x v="1"/>
    <x v="12"/>
  </r>
  <r>
    <x v="12"/>
    <x v="0"/>
    <n v="117986"/>
    <x v="92"/>
    <x v="0"/>
    <x v="0"/>
    <x v="12"/>
  </r>
  <r>
    <x v="12"/>
    <x v="0"/>
    <n v="218732"/>
    <x v="29"/>
    <x v="2"/>
    <x v="2"/>
    <x v="12"/>
  </r>
  <r>
    <x v="12"/>
    <x v="5"/>
    <n v="117986"/>
    <x v="92"/>
    <x v="2"/>
    <x v="2"/>
    <x v="12"/>
  </r>
  <r>
    <x v="12"/>
    <x v="0"/>
    <n v="218732"/>
    <x v="29"/>
    <x v="0"/>
    <x v="0"/>
    <x v="12"/>
  </r>
  <r>
    <x v="12"/>
    <x v="0"/>
    <n v="117986"/>
    <x v="92"/>
    <x v="1"/>
    <x v="1"/>
    <x v="12"/>
  </r>
  <r>
    <x v="12"/>
    <x v="0"/>
    <n v="117866"/>
    <x v="87"/>
    <x v="2"/>
    <x v="2"/>
    <x v="12"/>
  </r>
  <r>
    <x v="12"/>
    <x v="0"/>
    <n v="118535"/>
    <x v="90"/>
    <x v="1"/>
    <x v="1"/>
    <x v="12"/>
  </r>
  <r>
    <x v="12"/>
    <x v="0"/>
    <n v="120762"/>
    <x v="103"/>
    <x v="0"/>
    <x v="0"/>
    <x v="12"/>
  </r>
  <r>
    <x v="12"/>
    <x v="0"/>
    <n v="117866"/>
    <x v="87"/>
    <x v="0"/>
    <x v="0"/>
    <x v="12"/>
  </r>
  <r>
    <x v="12"/>
    <x v="4"/>
    <n v="300862"/>
    <x v="66"/>
    <x v="1"/>
    <x v="1"/>
    <x v="12"/>
  </r>
  <r>
    <x v="12"/>
    <x v="3"/>
    <n v="120762"/>
    <x v="103"/>
    <x v="1"/>
    <x v="1"/>
    <x v="12"/>
  </r>
  <r>
    <x v="12"/>
    <x v="0"/>
    <n v="206968"/>
    <x v="12"/>
    <x v="1"/>
    <x v="1"/>
    <x v="12"/>
  </r>
  <r>
    <x v="12"/>
    <x v="0"/>
    <n v="130744"/>
    <x v="97"/>
    <x v="1"/>
    <x v="1"/>
    <x v="12"/>
  </r>
  <r>
    <x v="12"/>
    <x v="0"/>
    <n v="206968"/>
    <x v="12"/>
    <x v="2"/>
    <x v="2"/>
    <x v="12"/>
  </r>
  <r>
    <x v="12"/>
    <x v="4"/>
    <n v="131643"/>
    <x v="0"/>
    <x v="1"/>
    <x v="1"/>
    <x v="12"/>
  </r>
  <r>
    <x v="12"/>
    <x v="0"/>
    <n v="140302"/>
    <x v="100"/>
    <x v="1"/>
    <x v="1"/>
    <x v="12"/>
  </r>
  <r>
    <x v="12"/>
    <x v="0"/>
    <n v="300711"/>
    <x v="74"/>
    <x v="1"/>
    <x v="1"/>
    <x v="12"/>
  </r>
  <r>
    <x v="12"/>
    <x v="0"/>
    <n v="144154"/>
    <x v="93"/>
    <x v="1"/>
    <x v="1"/>
    <x v="12"/>
  </r>
  <r>
    <x v="12"/>
    <x v="0"/>
    <n v="161003"/>
    <x v="88"/>
    <x v="2"/>
    <x v="2"/>
    <x v="12"/>
  </r>
  <r>
    <x v="12"/>
    <x v="0"/>
    <n v="144649"/>
    <x v="102"/>
    <x v="1"/>
    <x v="1"/>
    <x v="12"/>
  </r>
  <r>
    <x v="12"/>
    <x v="3"/>
    <n v="149445"/>
    <x v="99"/>
    <x v="1"/>
    <x v="1"/>
    <x v="12"/>
  </r>
  <r>
    <x v="12"/>
    <x v="0"/>
    <n v="158311"/>
    <x v="60"/>
    <x v="1"/>
    <x v="1"/>
    <x v="12"/>
  </r>
  <r>
    <x v="12"/>
    <x v="0"/>
    <n v="161003"/>
    <x v="88"/>
    <x v="0"/>
    <x v="0"/>
    <x v="12"/>
  </r>
  <r>
    <x v="12"/>
    <x v="0"/>
    <n v="158751"/>
    <x v="54"/>
    <x v="1"/>
    <x v="1"/>
    <x v="12"/>
  </r>
  <r>
    <x v="12"/>
    <x v="0"/>
    <n v="300571"/>
    <x v="18"/>
    <x v="1"/>
    <x v="1"/>
    <x v="12"/>
  </r>
  <r>
    <x v="12"/>
    <x v="3"/>
    <n v="160030"/>
    <x v="55"/>
    <x v="1"/>
    <x v="1"/>
    <x v="12"/>
  </r>
  <r>
    <x v="12"/>
    <x v="4"/>
    <n v="161003"/>
    <x v="88"/>
    <x v="1"/>
    <x v="1"/>
    <x v="12"/>
  </r>
  <r>
    <x v="12"/>
    <x v="3"/>
    <n v="161520"/>
    <x v="77"/>
    <x v="1"/>
    <x v="1"/>
    <x v="12"/>
  </r>
  <r>
    <x v="12"/>
    <x v="4"/>
    <n v="168458"/>
    <x v="75"/>
    <x v="1"/>
    <x v="1"/>
    <x v="12"/>
  </r>
  <r>
    <x v="12"/>
    <x v="0"/>
    <n v="169537"/>
    <x v="81"/>
    <x v="1"/>
    <x v="1"/>
    <x v="12"/>
  </r>
  <r>
    <x v="12"/>
    <x v="0"/>
    <n v="300571"/>
    <x v="18"/>
    <x v="0"/>
    <x v="0"/>
    <x v="12"/>
  </r>
  <r>
    <x v="12"/>
    <x v="0"/>
    <n v="169872"/>
    <x v="79"/>
    <x v="1"/>
    <x v="1"/>
    <x v="12"/>
  </r>
  <r>
    <x v="12"/>
    <x v="0"/>
    <n v="203631"/>
    <x v="71"/>
    <x v="1"/>
    <x v="1"/>
    <x v="12"/>
  </r>
  <r>
    <x v="12"/>
    <x v="4"/>
    <n v="204615"/>
    <x v="67"/>
    <x v="1"/>
    <x v="1"/>
    <x v="12"/>
  </r>
  <r>
    <x v="12"/>
    <x v="0"/>
    <n v="204939"/>
    <x v="61"/>
    <x v="1"/>
    <x v="1"/>
    <x v="12"/>
  </r>
  <r>
    <x v="12"/>
    <x v="0"/>
    <n v="218698"/>
    <x v="48"/>
    <x v="1"/>
    <x v="1"/>
    <x v="12"/>
  </r>
  <r>
    <x v="12"/>
    <x v="5"/>
    <n v="218674"/>
    <x v="57"/>
    <x v="1"/>
    <x v="1"/>
    <x v="12"/>
  </r>
  <r>
    <x v="12"/>
    <x v="0"/>
    <n v="204952"/>
    <x v="56"/>
    <x v="1"/>
    <x v="1"/>
    <x v="12"/>
  </r>
  <r>
    <x v="12"/>
    <x v="0"/>
    <n v="218732"/>
    <x v="29"/>
    <x v="1"/>
    <x v="1"/>
    <x v="12"/>
  </r>
  <r>
    <x v="12"/>
    <x v="3"/>
    <n v="218644"/>
    <x v="63"/>
    <x v="1"/>
    <x v="1"/>
    <x v="12"/>
  </r>
  <r>
    <x v="12"/>
    <x v="0"/>
    <n v="210127"/>
    <x v="41"/>
    <x v="2"/>
    <x v="2"/>
    <x v="12"/>
  </r>
  <r>
    <x v="12"/>
    <x v="1"/>
    <n v="218644"/>
    <x v="63"/>
    <x v="0"/>
    <x v="0"/>
    <x v="12"/>
  </r>
  <r>
    <x v="12"/>
    <x v="3"/>
    <n v="218628"/>
    <x v="76"/>
    <x v="1"/>
    <x v="1"/>
    <x v="12"/>
  </r>
  <r>
    <x v="12"/>
    <x v="3"/>
    <n v="205104"/>
    <x v="51"/>
    <x v="1"/>
    <x v="1"/>
    <x v="12"/>
  </r>
  <r>
    <x v="12"/>
    <x v="0"/>
    <n v="218628"/>
    <x v="76"/>
    <x v="0"/>
    <x v="0"/>
    <x v="12"/>
  </r>
  <r>
    <x v="12"/>
    <x v="0"/>
    <n v="210127"/>
    <x v="41"/>
    <x v="0"/>
    <x v="0"/>
    <x v="12"/>
  </r>
  <r>
    <x v="12"/>
    <x v="0"/>
    <n v="205104"/>
    <x v="51"/>
    <x v="2"/>
    <x v="2"/>
    <x v="12"/>
  </r>
  <r>
    <x v="12"/>
    <x v="0"/>
    <n v="218616"/>
    <x v="86"/>
    <x v="1"/>
    <x v="1"/>
    <x v="12"/>
  </r>
  <r>
    <x v="12"/>
    <x v="0"/>
    <n v="205228"/>
    <x v="44"/>
    <x v="1"/>
    <x v="1"/>
    <x v="12"/>
  </r>
  <r>
    <x v="12"/>
    <x v="0"/>
    <n v="218916"/>
    <x v="17"/>
    <x v="1"/>
    <x v="1"/>
    <x v="12"/>
  </r>
  <r>
    <x v="12"/>
    <x v="0"/>
    <n v="218402"/>
    <x v="101"/>
    <x v="1"/>
    <x v="1"/>
    <x v="12"/>
  </r>
  <r>
    <x v="12"/>
    <x v="0"/>
    <n v="205104"/>
    <x v="51"/>
    <x v="0"/>
    <x v="0"/>
    <x v="12"/>
  </r>
  <r>
    <x v="12"/>
    <x v="0"/>
    <n v="312259"/>
    <x v="28"/>
    <x v="2"/>
    <x v="2"/>
    <x v="12"/>
  </r>
  <r>
    <x v="12"/>
    <x v="3"/>
    <n v="218225"/>
    <x v="1"/>
    <x v="1"/>
    <x v="1"/>
    <x v="12"/>
  </r>
  <r>
    <x v="12"/>
    <x v="0"/>
    <n v="300219"/>
    <x v="3"/>
    <x v="1"/>
    <x v="1"/>
    <x v="12"/>
  </r>
  <r>
    <x v="12"/>
    <x v="0"/>
    <n v="218674"/>
    <x v="57"/>
    <x v="2"/>
    <x v="2"/>
    <x v="12"/>
  </r>
  <r>
    <x v="12"/>
    <x v="0"/>
    <n v="218210"/>
    <x v="69"/>
    <x v="0"/>
    <x v="0"/>
    <x v="12"/>
  </r>
  <r>
    <x v="12"/>
    <x v="0"/>
    <n v="217678"/>
    <x v="104"/>
    <x v="1"/>
    <x v="1"/>
    <x v="12"/>
  </r>
  <r>
    <x v="12"/>
    <x v="4"/>
    <n v="205349"/>
    <x v="39"/>
    <x v="1"/>
    <x v="1"/>
    <x v="12"/>
  </r>
  <r>
    <x v="12"/>
    <x v="0"/>
    <n v="217081"/>
    <x v="13"/>
    <x v="1"/>
    <x v="1"/>
    <x v="12"/>
  </r>
  <r>
    <x v="12"/>
    <x v="0"/>
    <n v="216566"/>
    <x v="96"/>
    <x v="1"/>
    <x v="1"/>
    <x v="12"/>
  </r>
  <r>
    <x v="12"/>
    <x v="3"/>
    <n v="205985"/>
    <x v="27"/>
    <x v="0"/>
    <x v="0"/>
    <x v="12"/>
  </r>
  <r>
    <x v="12"/>
    <x v="3"/>
    <n v="218987"/>
    <x v="8"/>
    <x v="0"/>
    <x v="0"/>
    <x v="12"/>
  </r>
  <r>
    <x v="12"/>
    <x v="0"/>
    <n v="216476"/>
    <x v="94"/>
    <x v="1"/>
    <x v="1"/>
    <x v="12"/>
  </r>
  <r>
    <x v="12"/>
    <x v="0"/>
    <n v="218674"/>
    <x v="57"/>
    <x v="0"/>
    <x v="0"/>
    <x v="12"/>
  </r>
  <r>
    <x v="12"/>
    <x v="0"/>
    <n v="214951"/>
    <x v="78"/>
    <x v="2"/>
    <x v="2"/>
    <x v="12"/>
  </r>
  <r>
    <x v="12"/>
    <x v="0"/>
    <n v="215020"/>
    <x v="72"/>
    <x v="1"/>
    <x v="1"/>
    <x v="12"/>
  </r>
  <r>
    <x v="12"/>
    <x v="1"/>
    <n v="215020"/>
    <x v="72"/>
    <x v="0"/>
    <x v="0"/>
    <x v="12"/>
  </r>
  <r>
    <x v="12"/>
    <x v="0"/>
    <n v="205985"/>
    <x v="27"/>
    <x v="1"/>
    <x v="1"/>
    <x v="12"/>
  </r>
  <r>
    <x v="12"/>
    <x v="5"/>
    <n v="214951"/>
    <x v="78"/>
    <x v="1"/>
    <x v="1"/>
    <x v="12"/>
  </r>
  <r>
    <x v="12"/>
    <x v="0"/>
    <n v="214951"/>
    <x v="78"/>
    <x v="0"/>
    <x v="0"/>
    <x v="12"/>
  </r>
  <r>
    <x v="12"/>
    <x v="4"/>
    <n v="213849"/>
    <x v="58"/>
    <x v="1"/>
    <x v="1"/>
    <x v="12"/>
  </r>
  <r>
    <x v="12"/>
    <x v="3"/>
    <n v="206236"/>
    <x v="22"/>
    <x v="1"/>
    <x v="1"/>
    <x v="12"/>
  </r>
  <r>
    <x v="12"/>
    <x v="1"/>
    <n v="218987"/>
    <x v="8"/>
    <x v="2"/>
    <x v="2"/>
    <x v="12"/>
  </r>
  <r>
    <x v="12"/>
    <x v="4"/>
    <n v="211470"/>
    <x v="53"/>
    <x v="1"/>
    <x v="1"/>
    <x v="12"/>
  </r>
  <r>
    <x v="12"/>
    <x v="0"/>
    <n v="204952"/>
    <x v="56"/>
    <x v="2"/>
    <x v="2"/>
    <x v="12"/>
  </r>
  <r>
    <x v="12"/>
    <x v="0"/>
    <n v="204952"/>
    <x v="56"/>
    <x v="0"/>
    <x v="0"/>
    <x v="12"/>
  </r>
  <r>
    <x v="12"/>
    <x v="0"/>
    <n v="211415"/>
    <x v="50"/>
    <x v="1"/>
    <x v="1"/>
    <x v="12"/>
  </r>
  <r>
    <x v="12"/>
    <x v="0"/>
    <n v="206298"/>
    <x v="14"/>
    <x v="1"/>
    <x v="1"/>
    <x v="12"/>
  </r>
  <r>
    <x v="12"/>
    <x v="2"/>
    <n v="210557"/>
    <x v="47"/>
    <x v="1"/>
    <x v="1"/>
    <x v="12"/>
  </r>
  <r>
    <x v="12"/>
    <x v="0"/>
    <n v="206236"/>
    <x v="22"/>
    <x v="2"/>
    <x v="2"/>
    <x v="12"/>
  </r>
  <r>
    <x v="12"/>
    <x v="0"/>
    <n v="210515"/>
    <x v="43"/>
    <x v="1"/>
    <x v="1"/>
    <x v="12"/>
  </r>
  <r>
    <x v="12"/>
    <x v="0"/>
    <n v="206348"/>
    <x v="4"/>
    <x v="0"/>
    <x v="0"/>
    <x v="12"/>
  </r>
  <r>
    <x v="12"/>
    <x v="0"/>
    <n v="206236"/>
    <x v="22"/>
    <x v="0"/>
    <x v="0"/>
    <x v="12"/>
  </r>
  <r>
    <x v="12"/>
    <x v="0"/>
    <n v="210515"/>
    <x v="43"/>
    <x v="0"/>
    <x v="0"/>
    <x v="12"/>
  </r>
  <r>
    <x v="12"/>
    <x v="0"/>
    <n v="218916"/>
    <x v="17"/>
    <x v="2"/>
    <x v="2"/>
    <x v="12"/>
  </r>
  <r>
    <x v="12"/>
    <x v="3"/>
    <n v="210127"/>
    <x v="41"/>
    <x v="1"/>
    <x v="1"/>
    <x v="12"/>
  </r>
  <r>
    <x v="12"/>
    <x v="3"/>
    <n v="218987"/>
    <x v="8"/>
    <x v="1"/>
    <x v="1"/>
    <x v="12"/>
  </r>
  <r>
    <x v="12"/>
    <x v="0"/>
    <n v="218916"/>
    <x v="17"/>
    <x v="0"/>
    <x v="0"/>
    <x v="12"/>
  </r>
  <r>
    <x v="12"/>
    <x v="0"/>
    <n v="210001"/>
    <x v="36"/>
    <x v="1"/>
    <x v="1"/>
    <x v="12"/>
  </r>
  <r>
    <x v="12"/>
    <x v="0"/>
    <n v="206348"/>
    <x v="4"/>
    <x v="1"/>
    <x v="1"/>
    <x v="12"/>
  </r>
  <r>
    <x v="12"/>
    <x v="0"/>
    <n v="217081"/>
    <x v="13"/>
    <x v="2"/>
    <x v="2"/>
    <x v="12"/>
  </r>
  <r>
    <x v="12"/>
    <x v="0"/>
    <n v="217081"/>
    <x v="13"/>
    <x v="0"/>
    <x v="0"/>
    <x v="12"/>
  </r>
  <r>
    <x v="12"/>
    <x v="0"/>
    <n v="210001"/>
    <x v="36"/>
    <x v="0"/>
    <x v="0"/>
    <x v="12"/>
  </r>
  <r>
    <x v="12"/>
    <x v="0"/>
    <n v="209209"/>
    <x v="32"/>
    <x v="2"/>
    <x v="2"/>
    <x v="12"/>
  </r>
  <r>
    <x v="12"/>
    <x v="0"/>
    <n v="209211"/>
    <x v="33"/>
    <x v="1"/>
    <x v="1"/>
    <x v="12"/>
  </r>
  <r>
    <x v="12"/>
    <x v="4"/>
    <n v="209209"/>
    <x v="32"/>
    <x v="1"/>
    <x v="1"/>
    <x v="12"/>
  </r>
  <r>
    <x v="12"/>
    <x v="0"/>
    <n v="206708"/>
    <x v="7"/>
    <x v="0"/>
    <x v="0"/>
    <x v="12"/>
  </r>
  <r>
    <x v="12"/>
    <x v="0"/>
    <n v="209208"/>
    <x v="30"/>
    <x v="1"/>
    <x v="1"/>
    <x v="12"/>
  </r>
  <r>
    <x v="12"/>
    <x v="0"/>
    <n v="206708"/>
    <x v="7"/>
    <x v="1"/>
    <x v="1"/>
    <x v="12"/>
  </r>
  <r>
    <x v="12"/>
    <x v="0"/>
    <n v="209209"/>
    <x v="32"/>
    <x v="0"/>
    <x v="0"/>
    <x v="12"/>
  </r>
  <r>
    <x v="12"/>
    <x v="0"/>
    <n v="208277"/>
    <x v="25"/>
    <x v="1"/>
    <x v="1"/>
    <x v="12"/>
  </r>
  <r>
    <x v="12"/>
    <x v="0"/>
    <n v="300169"/>
    <x v="5"/>
    <x v="1"/>
    <x v="1"/>
    <x v="12"/>
  </r>
  <r>
    <x v="12"/>
    <x v="0"/>
    <n v="300169"/>
    <x v="5"/>
    <x v="0"/>
    <x v="0"/>
    <x v="12"/>
  </r>
  <r>
    <x v="12"/>
    <x v="0"/>
    <n v="149445"/>
    <x v="99"/>
    <x v="2"/>
    <x v="2"/>
    <x v="12"/>
  </r>
  <r>
    <x v="12"/>
    <x v="0"/>
    <n v="208277"/>
    <x v="25"/>
    <x v="0"/>
    <x v="0"/>
    <x v="12"/>
  </r>
  <r>
    <x v="12"/>
    <x v="3"/>
    <n v="207743"/>
    <x v="20"/>
    <x v="1"/>
    <x v="1"/>
    <x v="12"/>
  </r>
  <r>
    <x v="12"/>
    <x v="0"/>
    <n v="206968"/>
    <x v="12"/>
    <x v="0"/>
    <x v="0"/>
    <x v="12"/>
  </r>
  <r>
    <x v="12"/>
    <x v="0"/>
    <n v="149445"/>
    <x v="99"/>
    <x v="0"/>
    <x v="0"/>
    <x v="12"/>
  </r>
  <r>
    <x v="12"/>
    <x v="0"/>
    <n v="158311"/>
    <x v="60"/>
    <x v="0"/>
    <x v="0"/>
    <x v="12"/>
  </r>
  <r>
    <x v="12"/>
    <x v="0"/>
    <n v="158311"/>
    <x v="60"/>
    <x v="2"/>
    <x v="2"/>
    <x v="12"/>
  </r>
  <r>
    <x v="12"/>
    <x v="0"/>
    <n v="211415"/>
    <x v="50"/>
    <x v="0"/>
    <x v="0"/>
    <x v="12"/>
  </r>
  <r>
    <x v="12"/>
    <x v="0"/>
    <n v="211415"/>
    <x v="50"/>
    <x v="2"/>
    <x v="2"/>
    <x v="12"/>
  </r>
  <r>
    <x v="12"/>
    <x v="0"/>
    <n v="301805"/>
    <x v="64"/>
    <x v="2"/>
    <x v="2"/>
    <x v="12"/>
  </r>
  <r>
    <x v="12"/>
    <x v="0"/>
    <n v="301805"/>
    <x v="64"/>
    <x v="1"/>
    <x v="1"/>
    <x v="12"/>
  </r>
  <r>
    <x v="12"/>
    <x v="0"/>
    <n v="218623"/>
    <x v="65"/>
    <x v="0"/>
    <x v="0"/>
    <x v="12"/>
  </r>
  <r>
    <x v="12"/>
    <x v="0"/>
    <n v="218623"/>
    <x v="65"/>
    <x v="2"/>
    <x v="2"/>
    <x v="12"/>
  </r>
  <r>
    <x v="12"/>
    <x v="0"/>
    <n v="218623"/>
    <x v="65"/>
    <x v="1"/>
    <x v="1"/>
    <x v="12"/>
  </r>
  <r>
    <x v="12"/>
    <x v="0"/>
    <n v="206348"/>
    <x v="4"/>
    <x v="2"/>
    <x v="2"/>
    <x v="12"/>
  </r>
  <r>
    <x v="12"/>
    <x v="0"/>
    <n v="300862"/>
    <x v="66"/>
    <x v="0"/>
    <x v="0"/>
    <x v="12"/>
  </r>
  <r>
    <x v="12"/>
    <x v="0"/>
    <n v="300862"/>
    <x v="66"/>
    <x v="2"/>
    <x v="2"/>
    <x v="12"/>
  </r>
  <r>
    <x v="12"/>
    <x v="0"/>
    <n v="302737"/>
    <x v="52"/>
    <x v="2"/>
    <x v="2"/>
    <x v="12"/>
  </r>
  <r>
    <x v="12"/>
    <x v="0"/>
    <n v="117442"/>
    <x v="68"/>
    <x v="0"/>
    <x v="0"/>
    <x v="12"/>
  </r>
  <r>
    <x v="12"/>
    <x v="0"/>
    <n v="117442"/>
    <x v="68"/>
    <x v="2"/>
    <x v="2"/>
    <x v="12"/>
  </r>
  <r>
    <x v="12"/>
    <x v="0"/>
    <n v="218210"/>
    <x v="69"/>
    <x v="2"/>
    <x v="2"/>
    <x v="12"/>
  </r>
  <r>
    <x v="12"/>
    <x v="0"/>
    <n v="218210"/>
    <x v="69"/>
    <x v="1"/>
    <x v="1"/>
    <x v="12"/>
  </r>
  <r>
    <x v="12"/>
    <x v="0"/>
    <n v="300571"/>
    <x v="18"/>
    <x v="2"/>
    <x v="2"/>
    <x v="12"/>
  </r>
  <r>
    <x v="12"/>
    <x v="0"/>
    <n v="206708"/>
    <x v="7"/>
    <x v="2"/>
    <x v="2"/>
    <x v="12"/>
  </r>
  <r>
    <x v="12"/>
    <x v="0"/>
    <n v="207743"/>
    <x v="20"/>
    <x v="0"/>
    <x v="0"/>
    <x v="12"/>
  </r>
  <r>
    <x v="12"/>
    <x v="0"/>
    <n v="207743"/>
    <x v="20"/>
    <x v="2"/>
    <x v="2"/>
    <x v="12"/>
  </r>
  <r>
    <x v="12"/>
    <x v="0"/>
    <n v="215020"/>
    <x v="72"/>
    <x v="2"/>
    <x v="2"/>
    <x v="12"/>
  </r>
  <r>
    <x v="12"/>
    <x v="0"/>
    <n v="218225"/>
    <x v="1"/>
    <x v="0"/>
    <x v="0"/>
    <x v="12"/>
  </r>
  <r>
    <x v="12"/>
    <x v="0"/>
    <n v="218225"/>
    <x v="1"/>
    <x v="2"/>
    <x v="2"/>
    <x v="12"/>
  </r>
  <r>
    <x v="12"/>
    <x v="0"/>
    <n v="131643"/>
    <x v="0"/>
    <x v="0"/>
    <x v="0"/>
    <x v="12"/>
  </r>
  <r>
    <x v="12"/>
    <x v="0"/>
    <n v="131643"/>
    <x v="0"/>
    <x v="2"/>
    <x v="2"/>
    <x v="12"/>
  </r>
  <r>
    <x v="12"/>
    <x v="0"/>
    <n v="168458"/>
    <x v="75"/>
    <x v="0"/>
    <x v="0"/>
    <x v="12"/>
  </r>
  <r>
    <x v="12"/>
    <x v="0"/>
    <n v="168458"/>
    <x v="75"/>
    <x v="2"/>
    <x v="2"/>
    <x v="12"/>
  </r>
  <r>
    <x v="12"/>
    <x v="0"/>
    <n v="218628"/>
    <x v="76"/>
    <x v="2"/>
    <x v="2"/>
    <x v="12"/>
  </r>
  <r>
    <x v="12"/>
    <x v="0"/>
    <n v="507"/>
    <x v="9"/>
    <x v="0"/>
    <x v="0"/>
    <x v="12"/>
  </r>
  <r>
    <x v="12"/>
    <x v="0"/>
    <n v="507"/>
    <x v="9"/>
    <x v="2"/>
    <x v="2"/>
    <x v="12"/>
  </r>
  <r>
    <x v="12"/>
    <x v="0"/>
    <n v="161520"/>
    <x v="77"/>
    <x v="0"/>
    <x v="0"/>
    <x v="12"/>
  </r>
  <r>
    <x v="12"/>
    <x v="0"/>
    <n v="161520"/>
    <x v="77"/>
    <x v="2"/>
    <x v="2"/>
    <x v="12"/>
  </r>
  <r>
    <x v="12"/>
    <x v="0"/>
    <n v="205349"/>
    <x v="39"/>
    <x v="0"/>
    <x v="0"/>
    <x v="12"/>
  </r>
  <r>
    <x v="12"/>
    <x v="0"/>
    <n v="205349"/>
    <x v="39"/>
    <x v="2"/>
    <x v="2"/>
    <x v="12"/>
  </r>
  <r>
    <x v="12"/>
    <x v="0"/>
    <n v="117456"/>
    <x v="80"/>
    <x v="0"/>
    <x v="0"/>
    <x v="12"/>
  </r>
  <r>
    <x v="12"/>
    <x v="0"/>
    <n v="117456"/>
    <x v="80"/>
    <x v="2"/>
    <x v="2"/>
    <x v="12"/>
  </r>
  <r>
    <x v="12"/>
    <x v="0"/>
    <n v="210557"/>
    <x v="47"/>
    <x v="0"/>
    <x v="0"/>
    <x v="12"/>
  </r>
  <r>
    <x v="12"/>
    <x v="0"/>
    <n v="210557"/>
    <x v="47"/>
    <x v="2"/>
    <x v="2"/>
    <x v="12"/>
  </r>
  <r>
    <x v="12"/>
    <x v="0"/>
    <n v="300169"/>
    <x v="5"/>
    <x v="2"/>
    <x v="2"/>
    <x v="12"/>
  </r>
  <r>
    <x v="12"/>
    <x v="0"/>
    <n v="316646"/>
    <x v="6"/>
    <x v="2"/>
    <x v="2"/>
    <x v="12"/>
  </r>
  <r>
    <x v="12"/>
    <x v="0"/>
    <n v="117230"/>
    <x v="73"/>
    <x v="0"/>
    <x v="0"/>
    <x v="12"/>
  </r>
  <r>
    <x v="12"/>
    <x v="0"/>
    <n v="117230"/>
    <x v="73"/>
    <x v="2"/>
    <x v="2"/>
    <x v="12"/>
  </r>
  <r>
    <x v="12"/>
    <x v="0"/>
    <n v="211622"/>
    <x v="82"/>
    <x v="0"/>
    <x v="0"/>
    <x v="12"/>
  </r>
  <r>
    <x v="12"/>
    <x v="0"/>
    <n v="211622"/>
    <x v="82"/>
    <x v="2"/>
    <x v="2"/>
    <x v="12"/>
  </r>
  <r>
    <x v="12"/>
    <x v="0"/>
    <n v="211622"/>
    <x v="82"/>
    <x v="1"/>
    <x v="1"/>
    <x v="12"/>
  </r>
  <r>
    <x v="12"/>
    <x v="0"/>
    <n v="311895"/>
    <x v="34"/>
    <x v="0"/>
    <x v="0"/>
    <x v="12"/>
  </r>
  <r>
    <x v="12"/>
    <x v="0"/>
    <n v="311895"/>
    <x v="34"/>
    <x v="2"/>
    <x v="2"/>
    <x v="12"/>
  </r>
  <r>
    <x v="12"/>
    <x v="0"/>
    <n v="169872"/>
    <x v="79"/>
    <x v="0"/>
    <x v="0"/>
    <x v="12"/>
  </r>
  <r>
    <x v="12"/>
    <x v="0"/>
    <n v="169872"/>
    <x v="79"/>
    <x v="2"/>
    <x v="2"/>
    <x v="12"/>
  </r>
  <r>
    <x v="12"/>
    <x v="0"/>
    <n v="208277"/>
    <x v="25"/>
    <x v="2"/>
    <x v="2"/>
    <x v="12"/>
  </r>
  <r>
    <x v="12"/>
    <x v="0"/>
    <n v="209208"/>
    <x v="30"/>
    <x v="0"/>
    <x v="0"/>
    <x v="12"/>
  </r>
  <r>
    <x v="12"/>
    <x v="0"/>
    <n v="209208"/>
    <x v="30"/>
    <x v="2"/>
    <x v="2"/>
    <x v="12"/>
  </r>
  <r>
    <x v="12"/>
    <x v="0"/>
    <n v="211470"/>
    <x v="53"/>
    <x v="0"/>
    <x v="0"/>
    <x v="12"/>
  </r>
  <r>
    <x v="12"/>
    <x v="0"/>
    <n v="211470"/>
    <x v="53"/>
    <x v="2"/>
    <x v="2"/>
    <x v="12"/>
  </r>
  <r>
    <x v="12"/>
    <x v="0"/>
    <n v="302856"/>
    <x v="46"/>
    <x v="2"/>
    <x v="2"/>
    <x v="12"/>
  </r>
  <r>
    <x v="12"/>
    <x v="0"/>
    <n v="302856"/>
    <x v="46"/>
    <x v="1"/>
    <x v="1"/>
    <x v="12"/>
  </r>
  <r>
    <x v="12"/>
    <x v="0"/>
    <n v="686"/>
    <x v="26"/>
    <x v="0"/>
    <x v="0"/>
    <x v="12"/>
  </r>
  <r>
    <x v="12"/>
    <x v="0"/>
    <n v="686"/>
    <x v="26"/>
    <x v="2"/>
    <x v="2"/>
    <x v="12"/>
  </r>
  <r>
    <x v="12"/>
    <x v="0"/>
    <n v="117819"/>
    <x v="83"/>
    <x v="0"/>
    <x v="0"/>
    <x v="12"/>
  </r>
  <r>
    <x v="12"/>
    <x v="0"/>
    <n v="117819"/>
    <x v="83"/>
    <x v="2"/>
    <x v="2"/>
    <x v="12"/>
  </r>
  <r>
    <x v="12"/>
    <x v="0"/>
    <n v="218616"/>
    <x v="86"/>
    <x v="0"/>
    <x v="0"/>
    <x v="12"/>
  </r>
  <r>
    <x v="12"/>
    <x v="0"/>
    <n v="218616"/>
    <x v="86"/>
    <x v="2"/>
    <x v="2"/>
    <x v="12"/>
  </r>
  <r>
    <x v="12"/>
    <x v="0"/>
    <n v="323608"/>
    <x v="31"/>
    <x v="0"/>
    <x v="0"/>
    <x v="12"/>
  </r>
  <r>
    <x v="12"/>
    <x v="0"/>
    <n v="323608"/>
    <x v="31"/>
    <x v="2"/>
    <x v="2"/>
    <x v="12"/>
  </r>
  <r>
    <x v="12"/>
    <x v="0"/>
    <n v="323608"/>
    <x v="31"/>
    <x v="1"/>
    <x v="1"/>
    <x v="12"/>
  </r>
  <r>
    <x v="12"/>
    <x v="0"/>
    <n v="209211"/>
    <x v="33"/>
    <x v="0"/>
    <x v="0"/>
    <x v="12"/>
  </r>
  <r>
    <x v="12"/>
    <x v="0"/>
    <n v="209211"/>
    <x v="33"/>
    <x v="2"/>
    <x v="2"/>
    <x v="12"/>
  </r>
  <r>
    <x v="12"/>
    <x v="0"/>
    <n v="312617"/>
    <x v="24"/>
    <x v="2"/>
    <x v="2"/>
    <x v="12"/>
  </r>
  <r>
    <x v="12"/>
    <x v="0"/>
    <n v="300711"/>
    <x v="74"/>
    <x v="0"/>
    <x v="0"/>
    <x v="12"/>
  </r>
  <r>
    <x v="12"/>
    <x v="0"/>
    <n v="300711"/>
    <x v="74"/>
    <x v="2"/>
    <x v="2"/>
    <x v="12"/>
  </r>
  <r>
    <x v="12"/>
    <x v="0"/>
    <n v="301760"/>
    <x v="89"/>
    <x v="2"/>
    <x v="2"/>
    <x v="12"/>
  </r>
  <r>
    <x v="12"/>
    <x v="0"/>
    <n v="316879"/>
    <x v="2"/>
    <x v="2"/>
    <x v="2"/>
    <x v="12"/>
  </r>
  <r>
    <x v="12"/>
    <x v="0"/>
    <n v="316879"/>
    <x v="2"/>
    <x v="1"/>
    <x v="1"/>
    <x v="12"/>
  </r>
  <r>
    <x v="12"/>
    <x v="0"/>
    <n v="118535"/>
    <x v="90"/>
    <x v="0"/>
    <x v="0"/>
    <x v="12"/>
  </r>
  <r>
    <x v="12"/>
    <x v="0"/>
    <n v="118535"/>
    <x v="90"/>
    <x v="2"/>
    <x v="2"/>
    <x v="12"/>
  </r>
  <r>
    <x v="12"/>
    <x v="0"/>
    <n v="120762"/>
    <x v="103"/>
    <x v="2"/>
    <x v="2"/>
    <x v="12"/>
  </r>
  <r>
    <x v="12"/>
    <x v="0"/>
    <n v="302769"/>
    <x v="49"/>
    <x v="0"/>
    <x v="0"/>
    <x v="12"/>
  </r>
  <r>
    <x v="12"/>
    <x v="0"/>
    <n v="302769"/>
    <x v="49"/>
    <x v="2"/>
    <x v="2"/>
    <x v="12"/>
  </r>
  <r>
    <x v="12"/>
    <x v="0"/>
    <n v="303221"/>
    <x v="38"/>
    <x v="0"/>
    <x v="0"/>
    <x v="12"/>
  </r>
  <r>
    <x v="12"/>
    <x v="0"/>
    <n v="303221"/>
    <x v="38"/>
    <x v="2"/>
    <x v="2"/>
    <x v="12"/>
  </r>
  <r>
    <x v="12"/>
    <x v="0"/>
    <n v="312807"/>
    <x v="21"/>
    <x v="2"/>
    <x v="2"/>
    <x v="12"/>
  </r>
  <r>
    <x v="12"/>
    <x v="0"/>
    <n v="312807"/>
    <x v="21"/>
    <x v="1"/>
    <x v="1"/>
    <x v="12"/>
  </r>
  <r>
    <x v="12"/>
    <x v="0"/>
    <n v="210001"/>
    <x v="36"/>
    <x v="2"/>
    <x v="2"/>
    <x v="12"/>
  </r>
  <r>
    <x v="12"/>
    <x v="0"/>
    <n v="301920"/>
    <x v="91"/>
    <x v="0"/>
    <x v="0"/>
    <x v="12"/>
  </r>
  <r>
    <x v="12"/>
    <x v="0"/>
    <n v="301920"/>
    <x v="91"/>
    <x v="2"/>
    <x v="2"/>
    <x v="12"/>
  </r>
  <r>
    <x v="12"/>
    <x v="0"/>
    <n v="300363"/>
    <x v="11"/>
    <x v="0"/>
    <x v="0"/>
    <x v="12"/>
  </r>
  <r>
    <x v="12"/>
    <x v="0"/>
    <n v="300363"/>
    <x v="11"/>
    <x v="2"/>
    <x v="2"/>
    <x v="12"/>
  </r>
  <r>
    <x v="12"/>
    <x v="0"/>
    <n v="300363"/>
    <x v="11"/>
    <x v="1"/>
    <x v="1"/>
    <x v="12"/>
  </r>
  <r>
    <x v="12"/>
    <x v="0"/>
    <n v="144154"/>
    <x v="93"/>
    <x v="0"/>
    <x v="0"/>
    <x v="12"/>
  </r>
  <r>
    <x v="12"/>
    <x v="0"/>
    <n v="144154"/>
    <x v="93"/>
    <x v="2"/>
    <x v="2"/>
    <x v="12"/>
  </r>
  <r>
    <x v="12"/>
    <x v="0"/>
    <n v="303189"/>
    <x v="42"/>
    <x v="0"/>
    <x v="0"/>
    <x v="12"/>
  </r>
  <r>
    <x v="12"/>
    <x v="0"/>
    <n v="303189"/>
    <x v="42"/>
    <x v="2"/>
    <x v="2"/>
    <x v="12"/>
  </r>
  <r>
    <x v="12"/>
    <x v="0"/>
    <n v="303219"/>
    <x v="40"/>
    <x v="0"/>
    <x v="0"/>
    <x v="12"/>
  </r>
  <r>
    <x v="12"/>
    <x v="0"/>
    <n v="303219"/>
    <x v="40"/>
    <x v="2"/>
    <x v="2"/>
    <x v="12"/>
  </r>
  <r>
    <x v="12"/>
    <x v="0"/>
    <n v="317470"/>
    <x v="10"/>
    <x v="2"/>
    <x v="2"/>
    <x v="12"/>
  </r>
  <r>
    <x v="12"/>
    <x v="0"/>
    <n v="301809"/>
    <x v="95"/>
    <x v="2"/>
    <x v="2"/>
    <x v="12"/>
  </r>
  <r>
    <x v="12"/>
    <x v="0"/>
    <n v="301809"/>
    <x v="95"/>
    <x v="1"/>
    <x v="1"/>
    <x v="12"/>
  </r>
  <r>
    <x v="12"/>
    <x v="0"/>
    <n v="117501"/>
    <x v="84"/>
    <x v="0"/>
    <x v="0"/>
    <x v="12"/>
  </r>
  <r>
    <x v="12"/>
    <x v="0"/>
    <n v="117501"/>
    <x v="84"/>
    <x v="2"/>
    <x v="2"/>
    <x v="12"/>
  </r>
  <r>
    <x v="12"/>
    <x v="0"/>
    <n v="117501"/>
    <x v="84"/>
    <x v="1"/>
    <x v="1"/>
    <x v="12"/>
  </r>
  <r>
    <x v="12"/>
    <x v="0"/>
    <n v="130744"/>
    <x v="97"/>
    <x v="0"/>
    <x v="0"/>
    <x v="12"/>
  </r>
  <r>
    <x v="12"/>
    <x v="0"/>
    <n v="130744"/>
    <x v="97"/>
    <x v="2"/>
    <x v="2"/>
    <x v="12"/>
  </r>
  <r>
    <x v="12"/>
    <x v="0"/>
    <n v="204939"/>
    <x v="61"/>
    <x v="0"/>
    <x v="0"/>
    <x v="12"/>
  </r>
  <r>
    <x v="12"/>
    <x v="0"/>
    <n v="204939"/>
    <x v="61"/>
    <x v="2"/>
    <x v="2"/>
    <x v="12"/>
  </r>
  <r>
    <x v="12"/>
    <x v="0"/>
    <n v="216566"/>
    <x v="96"/>
    <x v="0"/>
    <x v="0"/>
    <x v="12"/>
  </r>
  <r>
    <x v="12"/>
    <x v="0"/>
    <n v="216566"/>
    <x v="96"/>
    <x v="2"/>
    <x v="2"/>
    <x v="12"/>
  </r>
  <r>
    <x v="12"/>
    <x v="0"/>
    <n v="2737"/>
    <x v="62"/>
    <x v="2"/>
    <x v="2"/>
    <x v="12"/>
  </r>
  <r>
    <x v="12"/>
    <x v="0"/>
    <n v="302335"/>
    <x v="70"/>
    <x v="2"/>
    <x v="2"/>
    <x v="12"/>
  </r>
  <r>
    <x v="12"/>
    <x v="0"/>
    <n v="301229"/>
    <x v="98"/>
    <x v="2"/>
    <x v="2"/>
    <x v="12"/>
  </r>
  <r>
    <x v="12"/>
    <x v="0"/>
    <n v="301229"/>
    <x v="98"/>
    <x v="1"/>
    <x v="1"/>
    <x v="12"/>
  </r>
  <r>
    <x v="12"/>
    <x v="0"/>
    <n v="218698"/>
    <x v="48"/>
    <x v="0"/>
    <x v="0"/>
    <x v="12"/>
  </r>
  <r>
    <x v="12"/>
    <x v="0"/>
    <n v="218698"/>
    <x v="48"/>
    <x v="2"/>
    <x v="2"/>
    <x v="12"/>
  </r>
  <r>
    <x v="12"/>
    <x v="0"/>
    <n v="140302"/>
    <x v="100"/>
    <x v="0"/>
    <x v="0"/>
    <x v="12"/>
  </r>
  <r>
    <x v="12"/>
    <x v="0"/>
    <n v="140302"/>
    <x v="100"/>
    <x v="2"/>
    <x v="2"/>
    <x v="12"/>
  </r>
  <r>
    <x v="12"/>
    <x v="0"/>
    <n v="315199"/>
    <x v="15"/>
    <x v="0"/>
    <x v="0"/>
    <x v="12"/>
  </r>
  <r>
    <x v="12"/>
    <x v="0"/>
    <n v="315199"/>
    <x v="15"/>
    <x v="2"/>
    <x v="2"/>
    <x v="12"/>
  </r>
  <r>
    <x v="12"/>
    <x v="0"/>
    <n v="218402"/>
    <x v="101"/>
    <x v="0"/>
    <x v="0"/>
    <x v="12"/>
  </r>
  <r>
    <x v="12"/>
    <x v="0"/>
    <n v="218402"/>
    <x v="101"/>
    <x v="2"/>
    <x v="2"/>
    <x v="12"/>
  </r>
  <r>
    <x v="12"/>
    <x v="0"/>
    <n v="301983"/>
    <x v="85"/>
    <x v="2"/>
    <x v="2"/>
    <x v="12"/>
  </r>
  <r>
    <x v="12"/>
    <x v="0"/>
    <n v="302988"/>
    <x v="45"/>
    <x v="0"/>
    <x v="0"/>
    <x v="12"/>
  </r>
  <r>
    <x v="12"/>
    <x v="0"/>
    <n v="302988"/>
    <x v="45"/>
    <x v="2"/>
    <x v="2"/>
    <x v="12"/>
  </r>
  <r>
    <x v="12"/>
    <x v="0"/>
    <n v="218644"/>
    <x v="63"/>
    <x v="2"/>
    <x v="2"/>
    <x v="12"/>
  </r>
  <r>
    <x v="12"/>
    <x v="0"/>
    <n v="205985"/>
    <x v="27"/>
    <x v="2"/>
    <x v="2"/>
    <x v="12"/>
  </r>
  <r>
    <x v="12"/>
    <x v="0"/>
    <n v="169537"/>
    <x v="81"/>
    <x v="0"/>
    <x v="0"/>
    <x v="12"/>
  </r>
  <r>
    <x v="12"/>
    <x v="0"/>
    <n v="169537"/>
    <x v="81"/>
    <x v="2"/>
    <x v="2"/>
    <x v="12"/>
  </r>
  <r>
    <x v="12"/>
    <x v="0"/>
    <n v="204615"/>
    <x v="67"/>
    <x v="0"/>
    <x v="0"/>
    <x v="12"/>
  </r>
  <r>
    <x v="12"/>
    <x v="0"/>
    <n v="204615"/>
    <x v="67"/>
    <x v="2"/>
    <x v="2"/>
    <x v="12"/>
  </r>
  <r>
    <x v="12"/>
    <x v="0"/>
    <n v="216476"/>
    <x v="94"/>
    <x v="0"/>
    <x v="0"/>
    <x v="12"/>
  </r>
  <r>
    <x v="12"/>
    <x v="0"/>
    <n v="216476"/>
    <x v="94"/>
    <x v="2"/>
    <x v="2"/>
    <x v="12"/>
  </r>
  <r>
    <x v="12"/>
    <x v="0"/>
    <n v="144649"/>
    <x v="102"/>
    <x v="0"/>
    <x v="0"/>
    <x v="12"/>
  </r>
  <r>
    <x v="12"/>
    <x v="0"/>
    <n v="144649"/>
    <x v="102"/>
    <x v="2"/>
    <x v="2"/>
    <x v="12"/>
  </r>
  <r>
    <x v="12"/>
    <x v="0"/>
    <n v="314137"/>
    <x v="19"/>
    <x v="2"/>
    <x v="2"/>
    <x v="12"/>
  </r>
  <r>
    <x v="13"/>
    <x v="0"/>
    <n v="117456"/>
    <x v="80"/>
    <x v="2"/>
    <x v="2"/>
    <x v="13"/>
  </r>
  <r>
    <x v="13"/>
    <x v="0"/>
    <n v="211622"/>
    <x v="82"/>
    <x v="2"/>
    <x v="2"/>
    <x v="13"/>
  </r>
  <r>
    <x v="13"/>
    <x v="0"/>
    <n v="208277"/>
    <x v="25"/>
    <x v="0"/>
    <x v="0"/>
    <x v="13"/>
  </r>
  <r>
    <x v="13"/>
    <x v="0"/>
    <n v="208277"/>
    <x v="25"/>
    <x v="1"/>
    <x v="1"/>
    <x v="13"/>
  </r>
  <r>
    <x v="13"/>
    <x v="0"/>
    <n v="206348"/>
    <x v="4"/>
    <x v="1"/>
    <x v="1"/>
    <x v="13"/>
  </r>
  <r>
    <x v="13"/>
    <x v="0"/>
    <n v="210001"/>
    <x v="36"/>
    <x v="0"/>
    <x v="0"/>
    <x v="13"/>
  </r>
  <r>
    <x v="13"/>
    <x v="3"/>
    <n v="218987"/>
    <x v="8"/>
    <x v="1"/>
    <x v="1"/>
    <x v="13"/>
  </r>
  <r>
    <x v="13"/>
    <x v="0"/>
    <n v="210001"/>
    <x v="36"/>
    <x v="1"/>
    <x v="1"/>
    <x v="13"/>
  </r>
  <r>
    <x v="13"/>
    <x v="0"/>
    <n v="206348"/>
    <x v="4"/>
    <x v="0"/>
    <x v="0"/>
    <x v="13"/>
  </r>
  <r>
    <x v="13"/>
    <x v="0"/>
    <n v="210515"/>
    <x v="43"/>
    <x v="0"/>
    <x v="0"/>
    <x v="13"/>
  </r>
  <r>
    <x v="13"/>
    <x v="3"/>
    <n v="303221"/>
    <x v="38"/>
    <x v="1"/>
    <x v="1"/>
    <x v="13"/>
  </r>
  <r>
    <x v="13"/>
    <x v="0"/>
    <n v="211415"/>
    <x v="50"/>
    <x v="1"/>
    <x v="1"/>
    <x v="13"/>
  </r>
  <r>
    <x v="13"/>
    <x v="1"/>
    <n v="218987"/>
    <x v="8"/>
    <x v="2"/>
    <x v="2"/>
    <x v="13"/>
  </r>
  <r>
    <x v="13"/>
    <x v="0"/>
    <n v="205985"/>
    <x v="27"/>
    <x v="1"/>
    <x v="1"/>
    <x v="13"/>
  </r>
  <r>
    <x v="13"/>
    <x v="3"/>
    <n v="218987"/>
    <x v="8"/>
    <x v="0"/>
    <x v="0"/>
    <x v="13"/>
  </r>
  <r>
    <x v="13"/>
    <x v="3"/>
    <n v="205985"/>
    <x v="27"/>
    <x v="0"/>
    <x v="0"/>
    <x v="13"/>
  </r>
  <r>
    <x v="13"/>
    <x v="0"/>
    <n v="218210"/>
    <x v="69"/>
    <x v="0"/>
    <x v="0"/>
    <x v="13"/>
  </r>
  <r>
    <x v="13"/>
    <x v="0"/>
    <n v="218916"/>
    <x v="17"/>
    <x v="1"/>
    <x v="1"/>
    <x v="13"/>
  </r>
  <r>
    <x v="13"/>
    <x v="0"/>
    <n v="205228"/>
    <x v="44"/>
    <x v="1"/>
    <x v="1"/>
    <x v="13"/>
  </r>
  <r>
    <x v="13"/>
    <x v="0"/>
    <n v="218616"/>
    <x v="86"/>
    <x v="1"/>
    <x v="1"/>
    <x v="13"/>
  </r>
  <r>
    <x v="13"/>
    <x v="3"/>
    <n v="205104"/>
    <x v="51"/>
    <x v="1"/>
    <x v="1"/>
    <x v="13"/>
  </r>
  <r>
    <x v="13"/>
    <x v="0"/>
    <n v="204952"/>
    <x v="56"/>
    <x v="1"/>
    <x v="1"/>
    <x v="13"/>
  </r>
  <r>
    <x v="13"/>
    <x v="0"/>
    <n v="158311"/>
    <x v="60"/>
    <x v="1"/>
    <x v="1"/>
    <x v="13"/>
  </r>
  <r>
    <x v="13"/>
    <x v="0"/>
    <n v="144154"/>
    <x v="93"/>
    <x v="1"/>
    <x v="1"/>
    <x v="13"/>
  </r>
  <r>
    <x v="13"/>
    <x v="0"/>
    <n v="130744"/>
    <x v="97"/>
    <x v="1"/>
    <x v="1"/>
    <x v="13"/>
  </r>
  <r>
    <x v="13"/>
    <x v="3"/>
    <n v="120762"/>
    <x v="103"/>
    <x v="1"/>
    <x v="1"/>
    <x v="13"/>
  </r>
  <r>
    <x v="13"/>
    <x v="0"/>
    <n v="120762"/>
    <x v="103"/>
    <x v="0"/>
    <x v="0"/>
    <x v="13"/>
  </r>
  <r>
    <x v="13"/>
    <x v="0"/>
    <n v="117986"/>
    <x v="92"/>
    <x v="1"/>
    <x v="1"/>
    <x v="13"/>
  </r>
  <r>
    <x v="13"/>
    <x v="5"/>
    <n v="117986"/>
    <x v="92"/>
    <x v="2"/>
    <x v="2"/>
    <x v="13"/>
  </r>
  <r>
    <x v="13"/>
    <x v="0"/>
    <n v="117986"/>
    <x v="92"/>
    <x v="0"/>
    <x v="0"/>
    <x v="13"/>
  </r>
  <r>
    <x v="13"/>
    <x v="3"/>
    <n v="117866"/>
    <x v="87"/>
    <x v="1"/>
    <x v="1"/>
    <x v="13"/>
  </r>
  <r>
    <x v="13"/>
    <x v="3"/>
    <n v="300987"/>
    <x v="59"/>
    <x v="1"/>
    <x v="1"/>
    <x v="13"/>
  </r>
  <r>
    <x v="13"/>
    <x v="0"/>
    <n v="2737"/>
    <x v="62"/>
    <x v="1"/>
    <x v="1"/>
    <x v="13"/>
  </r>
  <r>
    <x v="13"/>
    <x v="0"/>
    <n v="2737"/>
    <x v="62"/>
    <x v="0"/>
    <x v="0"/>
    <x v="13"/>
  </r>
  <r>
    <x v="13"/>
    <x v="0"/>
    <n v="1733"/>
    <x v="37"/>
    <x v="1"/>
    <x v="1"/>
    <x v="13"/>
  </r>
  <r>
    <x v="13"/>
    <x v="4"/>
    <n v="1733"/>
    <x v="37"/>
    <x v="2"/>
    <x v="2"/>
    <x v="13"/>
  </r>
  <r>
    <x v="13"/>
    <x v="0"/>
    <n v="1733"/>
    <x v="37"/>
    <x v="0"/>
    <x v="0"/>
    <x v="13"/>
  </r>
  <r>
    <x v="13"/>
    <x v="0"/>
    <n v="686"/>
    <x v="26"/>
    <x v="1"/>
    <x v="1"/>
    <x v="13"/>
  </r>
  <r>
    <x v="13"/>
    <x v="0"/>
    <n v="301760"/>
    <x v="89"/>
    <x v="0"/>
    <x v="0"/>
    <x v="13"/>
  </r>
  <r>
    <x v="13"/>
    <x v="3"/>
    <n v="507"/>
    <x v="9"/>
    <x v="1"/>
    <x v="1"/>
    <x v="13"/>
  </r>
  <r>
    <x v="13"/>
    <x v="0"/>
    <n v="301760"/>
    <x v="89"/>
    <x v="1"/>
    <x v="1"/>
    <x v="13"/>
  </r>
  <r>
    <x v="13"/>
    <x v="0"/>
    <n v="301805"/>
    <x v="64"/>
    <x v="0"/>
    <x v="0"/>
    <x v="13"/>
  </r>
  <r>
    <x v="13"/>
    <x v="0"/>
    <n v="301920"/>
    <x v="91"/>
    <x v="1"/>
    <x v="1"/>
    <x v="13"/>
  </r>
  <r>
    <x v="13"/>
    <x v="3"/>
    <n v="302335"/>
    <x v="70"/>
    <x v="0"/>
    <x v="0"/>
    <x v="13"/>
  </r>
  <r>
    <x v="13"/>
    <x v="0"/>
    <n v="321932"/>
    <x v="23"/>
    <x v="0"/>
    <x v="0"/>
    <x v="13"/>
  </r>
  <r>
    <x v="13"/>
    <x v="0"/>
    <n v="302335"/>
    <x v="70"/>
    <x v="1"/>
    <x v="1"/>
    <x v="13"/>
  </r>
  <r>
    <x v="13"/>
    <x v="3"/>
    <n v="315199"/>
    <x v="15"/>
    <x v="1"/>
    <x v="1"/>
    <x v="13"/>
  </r>
  <r>
    <x v="13"/>
    <x v="0"/>
    <n v="314137"/>
    <x v="19"/>
    <x v="0"/>
    <x v="0"/>
    <x v="13"/>
  </r>
  <r>
    <x v="13"/>
    <x v="0"/>
    <n v="302856"/>
    <x v="46"/>
    <x v="0"/>
    <x v="0"/>
    <x v="13"/>
  </r>
  <r>
    <x v="13"/>
    <x v="0"/>
    <n v="312617"/>
    <x v="24"/>
    <x v="1"/>
    <x v="1"/>
    <x v="13"/>
  </r>
  <r>
    <x v="13"/>
    <x v="0"/>
    <n v="312617"/>
    <x v="24"/>
    <x v="0"/>
    <x v="0"/>
    <x v="13"/>
  </r>
  <r>
    <x v="13"/>
    <x v="3"/>
    <n v="303219"/>
    <x v="40"/>
    <x v="1"/>
    <x v="1"/>
    <x v="13"/>
  </r>
  <r>
    <x v="13"/>
    <x v="0"/>
    <n v="311895"/>
    <x v="34"/>
    <x v="1"/>
    <x v="1"/>
    <x v="13"/>
  </r>
  <r>
    <x v="13"/>
    <x v="0"/>
    <n v="205104"/>
    <x v="51"/>
    <x v="0"/>
    <x v="0"/>
    <x v="13"/>
  </r>
  <r>
    <x v="13"/>
    <x v="0"/>
    <n v="205104"/>
    <x v="51"/>
    <x v="2"/>
    <x v="2"/>
    <x v="13"/>
  </r>
  <r>
    <x v="13"/>
    <x v="0"/>
    <n v="210127"/>
    <x v="41"/>
    <x v="0"/>
    <x v="0"/>
    <x v="13"/>
  </r>
  <r>
    <x v="13"/>
    <x v="0"/>
    <n v="210127"/>
    <x v="41"/>
    <x v="2"/>
    <x v="2"/>
    <x v="13"/>
  </r>
  <r>
    <x v="13"/>
    <x v="0"/>
    <n v="210127"/>
    <x v="41"/>
    <x v="1"/>
    <x v="1"/>
    <x v="13"/>
  </r>
  <r>
    <x v="13"/>
    <x v="0"/>
    <n v="218674"/>
    <x v="57"/>
    <x v="0"/>
    <x v="0"/>
    <x v="13"/>
  </r>
  <r>
    <x v="13"/>
    <x v="0"/>
    <n v="218674"/>
    <x v="57"/>
    <x v="2"/>
    <x v="2"/>
    <x v="13"/>
  </r>
  <r>
    <x v="13"/>
    <x v="0"/>
    <n v="218674"/>
    <x v="57"/>
    <x v="1"/>
    <x v="1"/>
    <x v="13"/>
  </r>
  <r>
    <x v="13"/>
    <x v="0"/>
    <n v="312259"/>
    <x v="28"/>
    <x v="0"/>
    <x v="0"/>
    <x v="13"/>
  </r>
  <r>
    <x v="13"/>
    <x v="0"/>
    <n v="312259"/>
    <x v="28"/>
    <x v="2"/>
    <x v="2"/>
    <x v="13"/>
  </r>
  <r>
    <x v="13"/>
    <x v="0"/>
    <n v="312259"/>
    <x v="28"/>
    <x v="1"/>
    <x v="1"/>
    <x v="13"/>
  </r>
  <r>
    <x v="13"/>
    <x v="0"/>
    <n v="324108"/>
    <x v="35"/>
    <x v="0"/>
    <x v="0"/>
    <x v="13"/>
  </r>
  <r>
    <x v="13"/>
    <x v="0"/>
    <n v="324108"/>
    <x v="35"/>
    <x v="2"/>
    <x v="2"/>
    <x v="13"/>
  </r>
  <r>
    <x v="13"/>
    <x v="0"/>
    <n v="324108"/>
    <x v="35"/>
    <x v="1"/>
    <x v="1"/>
    <x v="13"/>
  </r>
  <r>
    <x v="13"/>
    <x v="0"/>
    <n v="117866"/>
    <x v="87"/>
    <x v="0"/>
    <x v="0"/>
    <x v="13"/>
  </r>
  <r>
    <x v="13"/>
    <x v="0"/>
    <n v="117866"/>
    <x v="87"/>
    <x v="2"/>
    <x v="2"/>
    <x v="13"/>
  </r>
  <r>
    <x v="13"/>
    <x v="0"/>
    <n v="161003"/>
    <x v="88"/>
    <x v="0"/>
    <x v="0"/>
    <x v="13"/>
  </r>
  <r>
    <x v="13"/>
    <x v="0"/>
    <n v="161003"/>
    <x v="88"/>
    <x v="2"/>
    <x v="2"/>
    <x v="13"/>
  </r>
  <r>
    <x v="13"/>
    <x v="0"/>
    <n v="161003"/>
    <x v="88"/>
    <x v="1"/>
    <x v="1"/>
    <x v="13"/>
  </r>
  <r>
    <x v="13"/>
    <x v="0"/>
    <n v="206968"/>
    <x v="12"/>
    <x v="0"/>
    <x v="0"/>
    <x v="13"/>
  </r>
  <r>
    <x v="13"/>
    <x v="0"/>
    <n v="206968"/>
    <x v="12"/>
    <x v="2"/>
    <x v="2"/>
    <x v="13"/>
  </r>
  <r>
    <x v="13"/>
    <x v="0"/>
    <n v="206968"/>
    <x v="12"/>
    <x v="1"/>
    <x v="1"/>
    <x v="13"/>
  </r>
  <r>
    <x v="13"/>
    <x v="0"/>
    <n v="218732"/>
    <x v="29"/>
    <x v="0"/>
    <x v="0"/>
    <x v="13"/>
  </r>
  <r>
    <x v="13"/>
    <x v="0"/>
    <n v="218732"/>
    <x v="29"/>
    <x v="2"/>
    <x v="2"/>
    <x v="13"/>
  </r>
  <r>
    <x v="13"/>
    <x v="0"/>
    <n v="218732"/>
    <x v="29"/>
    <x v="1"/>
    <x v="1"/>
    <x v="13"/>
  </r>
  <r>
    <x v="13"/>
    <x v="0"/>
    <n v="321932"/>
    <x v="23"/>
    <x v="2"/>
    <x v="2"/>
    <x v="13"/>
  </r>
  <r>
    <x v="13"/>
    <x v="0"/>
    <n v="321932"/>
    <x v="23"/>
    <x v="1"/>
    <x v="1"/>
    <x v="13"/>
  </r>
  <r>
    <x v="13"/>
    <x v="0"/>
    <n v="203631"/>
    <x v="71"/>
    <x v="0"/>
    <x v="0"/>
    <x v="13"/>
  </r>
  <r>
    <x v="13"/>
    <x v="0"/>
    <n v="203631"/>
    <x v="71"/>
    <x v="2"/>
    <x v="2"/>
    <x v="13"/>
  </r>
  <r>
    <x v="13"/>
    <x v="0"/>
    <n v="203631"/>
    <x v="71"/>
    <x v="1"/>
    <x v="1"/>
    <x v="13"/>
  </r>
  <r>
    <x v="13"/>
    <x v="0"/>
    <n v="207404"/>
    <x v="16"/>
    <x v="0"/>
    <x v="0"/>
    <x v="13"/>
  </r>
  <r>
    <x v="13"/>
    <x v="0"/>
    <n v="207404"/>
    <x v="16"/>
    <x v="2"/>
    <x v="2"/>
    <x v="13"/>
  </r>
  <r>
    <x v="13"/>
    <x v="0"/>
    <n v="210515"/>
    <x v="43"/>
    <x v="2"/>
    <x v="2"/>
    <x v="13"/>
  </r>
  <r>
    <x v="13"/>
    <x v="0"/>
    <n v="217678"/>
    <x v="104"/>
    <x v="0"/>
    <x v="0"/>
    <x v="13"/>
  </r>
  <r>
    <x v="13"/>
    <x v="0"/>
    <n v="217678"/>
    <x v="104"/>
    <x v="2"/>
    <x v="2"/>
    <x v="13"/>
  </r>
  <r>
    <x v="13"/>
    <x v="0"/>
    <n v="217678"/>
    <x v="104"/>
    <x v="1"/>
    <x v="1"/>
    <x v="13"/>
  </r>
  <r>
    <x v="13"/>
    <x v="0"/>
    <n v="300219"/>
    <x v="3"/>
    <x v="0"/>
    <x v="0"/>
    <x v="13"/>
  </r>
  <r>
    <x v="13"/>
    <x v="0"/>
    <n v="300219"/>
    <x v="3"/>
    <x v="2"/>
    <x v="2"/>
    <x v="13"/>
  </r>
  <r>
    <x v="13"/>
    <x v="0"/>
    <n v="300219"/>
    <x v="3"/>
    <x v="1"/>
    <x v="1"/>
    <x v="13"/>
  </r>
  <r>
    <x v="13"/>
    <x v="0"/>
    <n v="158751"/>
    <x v="54"/>
    <x v="0"/>
    <x v="0"/>
    <x v="13"/>
  </r>
  <r>
    <x v="13"/>
    <x v="0"/>
    <n v="158751"/>
    <x v="54"/>
    <x v="2"/>
    <x v="2"/>
    <x v="13"/>
  </r>
  <r>
    <x v="13"/>
    <x v="0"/>
    <n v="158751"/>
    <x v="54"/>
    <x v="1"/>
    <x v="1"/>
    <x v="13"/>
  </r>
  <r>
    <x v="13"/>
    <x v="0"/>
    <n v="160030"/>
    <x v="55"/>
    <x v="0"/>
    <x v="0"/>
    <x v="13"/>
  </r>
  <r>
    <x v="13"/>
    <x v="0"/>
    <n v="160030"/>
    <x v="55"/>
    <x v="2"/>
    <x v="2"/>
    <x v="13"/>
  </r>
  <r>
    <x v="13"/>
    <x v="0"/>
    <n v="160030"/>
    <x v="55"/>
    <x v="1"/>
    <x v="1"/>
    <x v="13"/>
  </r>
  <r>
    <x v="13"/>
    <x v="0"/>
    <n v="205228"/>
    <x v="44"/>
    <x v="0"/>
    <x v="0"/>
    <x v="13"/>
  </r>
  <r>
    <x v="13"/>
    <x v="0"/>
    <n v="205228"/>
    <x v="44"/>
    <x v="2"/>
    <x v="2"/>
    <x v="13"/>
  </r>
  <r>
    <x v="13"/>
    <x v="0"/>
    <n v="206298"/>
    <x v="14"/>
    <x v="0"/>
    <x v="0"/>
    <x v="13"/>
  </r>
  <r>
    <x v="13"/>
    <x v="0"/>
    <n v="206298"/>
    <x v="14"/>
    <x v="2"/>
    <x v="2"/>
    <x v="13"/>
  </r>
  <r>
    <x v="13"/>
    <x v="0"/>
    <n v="206298"/>
    <x v="14"/>
    <x v="1"/>
    <x v="1"/>
    <x v="13"/>
  </r>
  <r>
    <x v="13"/>
    <x v="0"/>
    <n v="213849"/>
    <x v="58"/>
    <x v="0"/>
    <x v="0"/>
    <x v="13"/>
  </r>
  <r>
    <x v="13"/>
    <x v="0"/>
    <n v="213849"/>
    <x v="58"/>
    <x v="2"/>
    <x v="2"/>
    <x v="13"/>
  </r>
  <r>
    <x v="13"/>
    <x v="0"/>
    <n v="213849"/>
    <x v="58"/>
    <x v="1"/>
    <x v="1"/>
    <x v="13"/>
  </r>
  <r>
    <x v="13"/>
    <x v="0"/>
    <n v="300987"/>
    <x v="59"/>
    <x v="0"/>
    <x v="0"/>
    <x v="13"/>
  </r>
  <r>
    <x v="13"/>
    <x v="0"/>
    <n v="300987"/>
    <x v="59"/>
    <x v="2"/>
    <x v="2"/>
    <x v="13"/>
  </r>
  <r>
    <x v="13"/>
    <x v="0"/>
    <n v="211415"/>
    <x v="50"/>
    <x v="0"/>
    <x v="0"/>
    <x v="13"/>
  </r>
  <r>
    <x v="13"/>
    <x v="0"/>
    <n v="211415"/>
    <x v="50"/>
    <x v="2"/>
    <x v="2"/>
    <x v="13"/>
  </r>
  <r>
    <x v="13"/>
    <x v="0"/>
    <n v="158311"/>
    <x v="60"/>
    <x v="0"/>
    <x v="0"/>
    <x v="13"/>
  </r>
  <r>
    <x v="13"/>
    <x v="0"/>
    <n v="158311"/>
    <x v="60"/>
    <x v="2"/>
    <x v="2"/>
    <x v="13"/>
  </r>
  <r>
    <x v="13"/>
    <x v="0"/>
    <n v="218623"/>
    <x v="65"/>
    <x v="0"/>
    <x v="0"/>
    <x v="13"/>
  </r>
  <r>
    <x v="13"/>
    <x v="0"/>
    <n v="218623"/>
    <x v="65"/>
    <x v="2"/>
    <x v="2"/>
    <x v="13"/>
  </r>
  <r>
    <x v="13"/>
    <x v="0"/>
    <n v="218623"/>
    <x v="65"/>
    <x v="1"/>
    <x v="1"/>
    <x v="13"/>
  </r>
  <r>
    <x v="13"/>
    <x v="0"/>
    <n v="301805"/>
    <x v="64"/>
    <x v="2"/>
    <x v="2"/>
    <x v="13"/>
  </r>
  <r>
    <x v="13"/>
    <x v="0"/>
    <n v="301805"/>
    <x v="64"/>
    <x v="1"/>
    <x v="1"/>
    <x v="13"/>
  </r>
  <r>
    <x v="13"/>
    <x v="0"/>
    <n v="117442"/>
    <x v="68"/>
    <x v="0"/>
    <x v="0"/>
    <x v="13"/>
  </r>
  <r>
    <x v="13"/>
    <x v="0"/>
    <n v="117442"/>
    <x v="68"/>
    <x v="2"/>
    <x v="2"/>
    <x v="13"/>
  </r>
  <r>
    <x v="13"/>
    <x v="0"/>
    <n v="117442"/>
    <x v="68"/>
    <x v="1"/>
    <x v="1"/>
    <x v="13"/>
  </r>
  <r>
    <x v="13"/>
    <x v="0"/>
    <n v="206348"/>
    <x v="4"/>
    <x v="2"/>
    <x v="2"/>
    <x v="13"/>
  </r>
  <r>
    <x v="13"/>
    <x v="0"/>
    <n v="300862"/>
    <x v="66"/>
    <x v="0"/>
    <x v="0"/>
    <x v="13"/>
  </r>
  <r>
    <x v="13"/>
    <x v="0"/>
    <n v="300862"/>
    <x v="66"/>
    <x v="2"/>
    <x v="2"/>
    <x v="13"/>
  </r>
  <r>
    <x v="13"/>
    <x v="0"/>
    <n v="300862"/>
    <x v="66"/>
    <x v="1"/>
    <x v="1"/>
    <x v="13"/>
  </r>
  <r>
    <x v="13"/>
    <x v="0"/>
    <n v="302737"/>
    <x v="52"/>
    <x v="0"/>
    <x v="0"/>
    <x v="13"/>
  </r>
  <r>
    <x v="13"/>
    <x v="0"/>
    <n v="302737"/>
    <x v="52"/>
    <x v="2"/>
    <x v="2"/>
    <x v="13"/>
  </r>
  <r>
    <x v="13"/>
    <x v="0"/>
    <n v="302737"/>
    <x v="52"/>
    <x v="1"/>
    <x v="1"/>
    <x v="13"/>
  </r>
  <r>
    <x v="13"/>
    <x v="0"/>
    <n v="218210"/>
    <x v="69"/>
    <x v="2"/>
    <x v="2"/>
    <x v="13"/>
  </r>
  <r>
    <x v="13"/>
    <x v="0"/>
    <n v="218210"/>
    <x v="69"/>
    <x v="1"/>
    <x v="1"/>
    <x v="13"/>
  </r>
  <r>
    <x v="13"/>
    <x v="0"/>
    <n v="206708"/>
    <x v="7"/>
    <x v="0"/>
    <x v="0"/>
    <x v="13"/>
  </r>
  <r>
    <x v="13"/>
    <x v="0"/>
    <n v="206708"/>
    <x v="7"/>
    <x v="2"/>
    <x v="2"/>
    <x v="13"/>
  </r>
  <r>
    <x v="13"/>
    <x v="0"/>
    <n v="206708"/>
    <x v="7"/>
    <x v="1"/>
    <x v="1"/>
    <x v="13"/>
  </r>
  <r>
    <x v="13"/>
    <x v="0"/>
    <n v="207743"/>
    <x v="20"/>
    <x v="0"/>
    <x v="0"/>
    <x v="13"/>
  </r>
  <r>
    <x v="13"/>
    <x v="0"/>
    <n v="207743"/>
    <x v="20"/>
    <x v="2"/>
    <x v="2"/>
    <x v="13"/>
  </r>
  <r>
    <x v="13"/>
    <x v="0"/>
    <n v="207743"/>
    <x v="20"/>
    <x v="1"/>
    <x v="1"/>
    <x v="13"/>
  </r>
  <r>
    <x v="13"/>
    <x v="0"/>
    <n v="300571"/>
    <x v="18"/>
    <x v="0"/>
    <x v="0"/>
    <x v="13"/>
  </r>
  <r>
    <x v="13"/>
    <x v="0"/>
    <n v="300571"/>
    <x v="18"/>
    <x v="2"/>
    <x v="2"/>
    <x v="13"/>
  </r>
  <r>
    <x v="13"/>
    <x v="0"/>
    <n v="300571"/>
    <x v="18"/>
    <x v="1"/>
    <x v="1"/>
    <x v="13"/>
  </r>
  <r>
    <x v="13"/>
    <x v="0"/>
    <n v="131643"/>
    <x v="0"/>
    <x v="0"/>
    <x v="0"/>
    <x v="13"/>
  </r>
  <r>
    <x v="13"/>
    <x v="0"/>
    <n v="131643"/>
    <x v="0"/>
    <x v="2"/>
    <x v="2"/>
    <x v="13"/>
  </r>
  <r>
    <x v="13"/>
    <x v="0"/>
    <n v="131643"/>
    <x v="0"/>
    <x v="1"/>
    <x v="1"/>
    <x v="13"/>
  </r>
  <r>
    <x v="13"/>
    <x v="0"/>
    <n v="215020"/>
    <x v="72"/>
    <x v="0"/>
    <x v="0"/>
    <x v="13"/>
  </r>
  <r>
    <x v="13"/>
    <x v="0"/>
    <n v="215020"/>
    <x v="72"/>
    <x v="2"/>
    <x v="2"/>
    <x v="13"/>
  </r>
  <r>
    <x v="13"/>
    <x v="0"/>
    <n v="215020"/>
    <x v="72"/>
    <x v="1"/>
    <x v="1"/>
    <x v="13"/>
  </r>
  <r>
    <x v="13"/>
    <x v="0"/>
    <n v="218225"/>
    <x v="1"/>
    <x v="0"/>
    <x v="0"/>
    <x v="13"/>
  </r>
  <r>
    <x v="13"/>
    <x v="0"/>
    <n v="218225"/>
    <x v="1"/>
    <x v="2"/>
    <x v="2"/>
    <x v="13"/>
  </r>
  <r>
    <x v="13"/>
    <x v="0"/>
    <n v="218225"/>
    <x v="1"/>
    <x v="1"/>
    <x v="1"/>
    <x v="13"/>
  </r>
  <r>
    <x v="13"/>
    <x v="0"/>
    <n v="218628"/>
    <x v="76"/>
    <x v="0"/>
    <x v="0"/>
    <x v="13"/>
  </r>
  <r>
    <x v="13"/>
    <x v="0"/>
    <n v="218628"/>
    <x v="76"/>
    <x v="2"/>
    <x v="2"/>
    <x v="13"/>
  </r>
  <r>
    <x v="13"/>
    <x v="0"/>
    <n v="218628"/>
    <x v="76"/>
    <x v="1"/>
    <x v="1"/>
    <x v="13"/>
  </r>
  <r>
    <x v="13"/>
    <x v="0"/>
    <n v="507"/>
    <x v="9"/>
    <x v="0"/>
    <x v="0"/>
    <x v="13"/>
  </r>
  <r>
    <x v="13"/>
    <x v="0"/>
    <n v="507"/>
    <x v="9"/>
    <x v="2"/>
    <x v="2"/>
    <x v="13"/>
  </r>
  <r>
    <x v="13"/>
    <x v="0"/>
    <n v="168458"/>
    <x v="75"/>
    <x v="0"/>
    <x v="0"/>
    <x v="13"/>
  </r>
  <r>
    <x v="13"/>
    <x v="0"/>
    <n v="168458"/>
    <x v="75"/>
    <x v="2"/>
    <x v="2"/>
    <x v="13"/>
  </r>
  <r>
    <x v="13"/>
    <x v="0"/>
    <n v="168458"/>
    <x v="75"/>
    <x v="1"/>
    <x v="1"/>
    <x v="13"/>
  </r>
  <r>
    <x v="13"/>
    <x v="0"/>
    <n v="117456"/>
    <x v="80"/>
    <x v="0"/>
    <x v="0"/>
    <x v="13"/>
  </r>
  <r>
    <x v="13"/>
    <x v="0"/>
    <n v="210515"/>
    <x v="43"/>
    <x v="1"/>
    <x v="1"/>
    <x v="13"/>
  </r>
  <r>
    <x v="13"/>
    <x v="3"/>
    <n v="207404"/>
    <x v="16"/>
    <x v="1"/>
    <x v="1"/>
    <x v="13"/>
  </r>
  <r>
    <x v="13"/>
    <x v="0"/>
    <n v="205349"/>
    <x v="39"/>
    <x v="0"/>
    <x v="0"/>
    <x v="13"/>
  </r>
  <r>
    <x v="13"/>
    <x v="0"/>
    <n v="161520"/>
    <x v="77"/>
    <x v="2"/>
    <x v="2"/>
    <x v="13"/>
  </r>
  <r>
    <x v="13"/>
    <x v="0"/>
    <n v="161520"/>
    <x v="77"/>
    <x v="1"/>
    <x v="1"/>
    <x v="13"/>
  </r>
  <r>
    <x v="13"/>
    <x v="0"/>
    <n v="161520"/>
    <x v="77"/>
    <x v="0"/>
    <x v="0"/>
    <x v="13"/>
  </r>
  <r>
    <x v="13"/>
    <x v="0"/>
    <n v="205349"/>
    <x v="39"/>
    <x v="2"/>
    <x v="2"/>
    <x v="13"/>
  </r>
  <r>
    <x v="13"/>
    <x v="0"/>
    <n v="205349"/>
    <x v="39"/>
    <x v="1"/>
    <x v="1"/>
    <x v="13"/>
  </r>
  <r>
    <x v="13"/>
    <x v="0"/>
    <n v="300169"/>
    <x v="5"/>
    <x v="0"/>
    <x v="0"/>
    <x v="13"/>
  </r>
  <r>
    <x v="13"/>
    <x v="0"/>
    <n v="300169"/>
    <x v="5"/>
    <x v="2"/>
    <x v="2"/>
    <x v="13"/>
  </r>
  <r>
    <x v="13"/>
    <x v="0"/>
    <n v="300169"/>
    <x v="5"/>
    <x v="1"/>
    <x v="1"/>
    <x v="13"/>
  </r>
  <r>
    <x v="13"/>
    <x v="0"/>
    <n v="316646"/>
    <x v="6"/>
    <x v="0"/>
    <x v="0"/>
    <x v="13"/>
  </r>
  <r>
    <x v="13"/>
    <x v="0"/>
    <n v="316646"/>
    <x v="6"/>
    <x v="2"/>
    <x v="2"/>
    <x v="13"/>
  </r>
  <r>
    <x v="13"/>
    <x v="0"/>
    <n v="316646"/>
    <x v="6"/>
    <x v="1"/>
    <x v="1"/>
    <x v="13"/>
  </r>
  <r>
    <x v="13"/>
    <x v="0"/>
    <n v="117230"/>
    <x v="73"/>
    <x v="0"/>
    <x v="0"/>
    <x v="13"/>
  </r>
  <r>
    <x v="13"/>
    <x v="0"/>
    <n v="117230"/>
    <x v="73"/>
    <x v="2"/>
    <x v="2"/>
    <x v="13"/>
  </r>
  <r>
    <x v="13"/>
    <x v="0"/>
    <n v="117230"/>
    <x v="73"/>
    <x v="1"/>
    <x v="1"/>
    <x v="13"/>
  </r>
  <r>
    <x v="13"/>
    <x v="0"/>
    <n v="210557"/>
    <x v="47"/>
    <x v="0"/>
    <x v="0"/>
    <x v="13"/>
  </r>
  <r>
    <x v="13"/>
    <x v="0"/>
    <n v="210557"/>
    <x v="47"/>
    <x v="2"/>
    <x v="2"/>
    <x v="13"/>
  </r>
  <r>
    <x v="13"/>
    <x v="0"/>
    <n v="210557"/>
    <x v="47"/>
    <x v="1"/>
    <x v="1"/>
    <x v="13"/>
  </r>
  <r>
    <x v="13"/>
    <x v="0"/>
    <n v="169872"/>
    <x v="79"/>
    <x v="0"/>
    <x v="0"/>
    <x v="13"/>
  </r>
  <r>
    <x v="13"/>
    <x v="0"/>
    <n v="169872"/>
    <x v="79"/>
    <x v="2"/>
    <x v="2"/>
    <x v="13"/>
  </r>
  <r>
    <x v="13"/>
    <x v="0"/>
    <n v="169872"/>
    <x v="79"/>
    <x v="1"/>
    <x v="1"/>
    <x v="13"/>
  </r>
  <r>
    <x v="13"/>
    <x v="0"/>
    <n v="208277"/>
    <x v="25"/>
    <x v="2"/>
    <x v="2"/>
    <x v="13"/>
  </r>
  <r>
    <x v="13"/>
    <x v="0"/>
    <n v="211622"/>
    <x v="82"/>
    <x v="0"/>
    <x v="0"/>
    <x v="13"/>
  </r>
  <r>
    <x v="13"/>
    <x v="0"/>
    <n v="117456"/>
    <x v="80"/>
    <x v="1"/>
    <x v="1"/>
    <x v="13"/>
  </r>
  <r>
    <x v="13"/>
    <x v="0"/>
    <n v="211622"/>
    <x v="82"/>
    <x v="1"/>
    <x v="1"/>
    <x v="13"/>
  </r>
  <r>
    <x v="13"/>
    <x v="0"/>
    <n v="311895"/>
    <x v="34"/>
    <x v="0"/>
    <x v="0"/>
    <x v="13"/>
  </r>
  <r>
    <x v="13"/>
    <x v="0"/>
    <n v="311895"/>
    <x v="34"/>
    <x v="2"/>
    <x v="2"/>
    <x v="13"/>
  </r>
  <r>
    <x v="13"/>
    <x v="0"/>
    <n v="302856"/>
    <x v="46"/>
    <x v="2"/>
    <x v="2"/>
    <x v="13"/>
  </r>
  <r>
    <x v="13"/>
    <x v="0"/>
    <n v="302856"/>
    <x v="46"/>
    <x v="1"/>
    <x v="1"/>
    <x v="13"/>
  </r>
  <r>
    <x v="13"/>
    <x v="0"/>
    <n v="686"/>
    <x v="26"/>
    <x v="0"/>
    <x v="0"/>
    <x v="13"/>
  </r>
  <r>
    <x v="13"/>
    <x v="0"/>
    <n v="686"/>
    <x v="26"/>
    <x v="2"/>
    <x v="2"/>
    <x v="13"/>
  </r>
  <r>
    <x v="13"/>
    <x v="0"/>
    <n v="117819"/>
    <x v="83"/>
    <x v="0"/>
    <x v="0"/>
    <x v="13"/>
  </r>
  <r>
    <x v="13"/>
    <x v="0"/>
    <n v="117819"/>
    <x v="83"/>
    <x v="2"/>
    <x v="2"/>
    <x v="13"/>
  </r>
  <r>
    <x v="13"/>
    <x v="0"/>
    <n v="117819"/>
    <x v="83"/>
    <x v="1"/>
    <x v="1"/>
    <x v="13"/>
  </r>
  <r>
    <x v="13"/>
    <x v="0"/>
    <n v="209208"/>
    <x v="30"/>
    <x v="0"/>
    <x v="0"/>
    <x v="13"/>
  </r>
  <r>
    <x v="13"/>
    <x v="0"/>
    <n v="209208"/>
    <x v="30"/>
    <x v="2"/>
    <x v="2"/>
    <x v="13"/>
  </r>
  <r>
    <x v="13"/>
    <x v="0"/>
    <n v="209208"/>
    <x v="30"/>
    <x v="1"/>
    <x v="1"/>
    <x v="13"/>
  </r>
  <r>
    <x v="13"/>
    <x v="0"/>
    <n v="211470"/>
    <x v="53"/>
    <x v="0"/>
    <x v="0"/>
    <x v="13"/>
  </r>
  <r>
    <x v="13"/>
    <x v="0"/>
    <n v="211470"/>
    <x v="53"/>
    <x v="2"/>
    <x v="2"/>
    <x v="13"/>
  </r>
  <r>
    <x v="13"/>
    <x v="0"/>
    <n v="211470"/>
    <x v="53"/>
    <x v="1"/>
    <x v="1"/>
    <x v="13"/>
  </r>
  <r>
    <x v="13"/>
    <x v="0"/>
    <n v="218616"/>
    <x v="86"/>
    <x v="0"/>
    <x v="0"/>
    <x v="13"/>
  </r>
  <r>
    <x v="13"/>
    <x v="0"/>
    <n v="218616"/>
    <x v="86"/>
    <x v="2"/>
    <x v="2"/>
    <x v="13"/>
  </r>
  <r>
    <x v="13"/>
    <x v="0"/>
    <n v="323608"/>
    <x v="31"/>
    <x v="0"/>
    <x v="0"/>
    <x v="13"/>
  </r>
  <r>
    <x v="13"/>
    <x v="0"/>
    <n v="323608"/>
    <x v="31"/>
    <x v="2"/>
    <x v="2"/>
    <x v="13"/>
  </r>
  <r>
    <x v="13"/>
    <x v="0"/>
    <n v="323608"/>
    <x v="31"/>
    <x v="1"/>
    <x v="1"/>
    <x v="13"/>
  </r>
  <r>
    <x v="13"/>
    <x v="0"/>
    <n v="312617"/>
    <x v="24"/>
    <x v="2"/>
    <x v="2"/>
    <x v="13"/>
  </r>
  <r>
    <x v="13"/>
    <x v="0"/>
    <n v="209211"/>
    <x v="33"/>
    <x v="0"/>
    <x v="0"/>
    <x v="13"/>
  </r>
  <r>
    <x v="13"/>
    <x v="0"/>
    <n v="209211"/>
    <x v="33"/>
    <x v="2"/>
    <x v="2"/>
    <x v="13"/>
  </r>
  <r>
    <x v="13"/>
    <x v="0"/>
    <n v="209211"/>
    <x v="33"/>
    <x v="1"/>
    <x v="1"/>
    <x v="13"/>
  </r>
  <r>
    <x v="13"/>
    <x v="0"/>
    <n v="301760"/>
    <x v="89"/>
    <x v="2"/>
    <x v="2"/>
    <x v="13"/>
  </r>
  <r>
    <x v="13"/>
    <x v="0"/>
    <n v="316879"/>
    <x v="2"/>
    <x v="0"/>
    <x v="0"/>
    <x v="13"/>
  </r>
  <r>
    <x v="13"/>
    <x v="0"/>
    <n v="316879"/>
    <x v="2"/>
    <x v="2"/>
    <x v="2"/>
    <x v="13"/>
  </r>
  <r>
    <x v="13"/>
    <x v="0"/>
    <n v="316879"/>
    <x v="2"/>
    <x v="1"/>
    <x v="1"/>
    <x v="13"/>
  </r>
  <r>
    <x v="13"/>
    <x v="0"/>
    <n v="118535"/>
    <x v="90"/>
    <x v="0"/>
    <x v="0"/>
    <x v="13"/>
  </r>
  <r>
    <x v="13"/>
    <x v="0"/>
    <n v="118535"/>
    <x v="90"/>
    <x v="2"/>
    <x v="2"/>
    <x v="13"/>
  </r>
  <r>
    <x v="13"/>
    <x v="0"/>
    <n v="118535"/>
    <x v="90"/>
    <x v="1"/>
    <x v="1"/>
    <x v="13"/>
  </r>
  <r>
    <x v="13"/>
    <x v="0"/>
    <n v="120762"/>
    <x v="103"/>
    <x v="2"/>
    <x v="2"/>
    <x v="13"/>
  </r>
  <r>
    <x v="13"/>
    <x v="0"/>
    <n v="300711"/>
    <x v="74"/>
    <x v="0"/>
    <x v="0"/>
    <x v="13"/>
  </r>
  <r>
    <x v="13"/>
    <x v="0"/>
    <n v="300711"/>
    <x v="74"/>
    <x v="2"/>
    <x v="2"/>
    <x v="13"/>
  </r>
  <r>
    <x v="13"/>
    <x v="0"/>
    <n v="300711"/>
    <x v="74"/>
    <x v="1"/>
    <x v="1"/>
    <x v="13"/>
  </r>
  <r>
    <x v="13"/>
    <x v="0"/>
    <n v="210001"/>
    <x v="36"/>
    <x v="2"/>
    <x v="2"/>
    <x v="13"/>
  </r>
  <r>
    <x v="13"/>
    <x v="0"/>
    <n v="301920"/>
    <x v="91"/>
    <x v="0"/>
    <x v="0"/>
    <x v="13"/>
  </r>
  <r>
    <x v="13"/>
    <x v="0"/>
    <n v="301920"/>
    <x v="91"/>
    <x v="2"/>
    <x v="2"/>
    <x v="13"/>
  </r>
  <r>
    <x v="13"/>
    <x v="0"/>
    <n v="302769"/>
    <x v="49"/>
    <x v="0"/>
    <x v="0"/>
    <x v="13"/>
  </r>
  <r>
    <x v="13"/>
    <x v="0"/>
    <n v="302769"/>
    <x v="49"/>
    <x v="2"/>
    <x v="2"/>
    <x v="13"/>
  </r>
  <r>
    <x v="13"/>
    <x v="0"/>
    <n v="302769"/>
    <x v="49"/>
    <x v="1"/>
    <x v="1"/>
    <x v="13"/>
  </r>
  <r>
    <x v="13"/>
    <x v="0"/>
    <n v="303221"/>
    <x v="38"/>
    <x v="0"/>
    <x v="0"/>
    <x v="13"/>
  </r>
  <r>
    <x v="13"/>
    <x v="0"/>
    <n v="303221"/>
    <x v="38"/>
    <x v="2"/>
    <x v="2"/>
    <x v="13"/>
  </r>
  <r>
    <x v="13"/>
    <x v="0"/>
    <n v="312807"/>
    <x v="21"/>
    <x v="0"/>
    <x v="0"/>
    <x v="13"/>
  </r>
  <r>
    <x v="13"/>
    <x v="0"/>
    <n v="312807"/>
    <x v="21"/>
    <x v="2"/>
    <x v="2"/>
    <x v="13"/>
  </r>
  <r>
    <x v="13"/>
    <x v="0"/>
    <n v="312807"/>
    <x v="21"/>
    <x v="1"/>
    <x v="1"/>
    <x v="13"/>
  </r>
  <r>
    <x v="13"/>
    <x v="0"/>
    <n v="300363"/>
    <x v="11"/>
    <x v="0"/>
    <x v="0"/>
    <x v="13"/>
  </r>
  <r>
    <x v="13"/>
    <x v="0"/>
    <n v="300363"/>
    <x v="11"/>
    <x v="2"/>
    <x v="2"/>
    <x v="13"/>
  </r>
  <r>
    <x v="13"/>
    <x v="0"/>
    <n v="300363"/>
    <x v="11"/>
    <x v="1"/>
    <x v="1"/>
    <x v="13"/>
  </r>
  <r>
    <x v="13"/>
    <x v="0"/>
    <n v="144154"/>
    <x v="93"/>
    <x v="0"/>
    <x v="0"/>
    <x v="13"/>
  </r>
  <r>
    <x v="13"/>
    <x v="0"/>
    <n v="144154"/>
    <x v="93"/>
    <x v="2"/>
    <x v="2"/>
    <x v="13"/>
  </r>
  <r>
    <x v="13"/>
    <x v="0"/>
    <n v="301809"/>
    <x v="95"/>
    <x v="0"/>
    <x v="0"/>
    <x v="13"/>
  </r>
  <r>
    <x v="13"/>
    <x v="0"/>
    <n v="301809"/>
    <x v="95"/>
    <x v="2"/>
    <x v="2"/>
    <x v="13"/>
  </r>
  <r>
    <x v="13"/>
    <x v="0"/>
    <n v="301809"/>
    <x v="95"/>
    <x v="1"/>
    <x v="1"/>
    <x v="13"/>
  </r>
  <r>
    <x v="13"/>
    <x v="0"/>
    <n v="303189"/>
    <x v="42"/>
    <x v="0"/>
    <x v="0"/>
    <x v="13"/>
  </r>
  <r>
    <x v="13"/>
    <x v="0"/>
    <n v="303189"/>
    <x v="42"/>
    <x v="2"/>
    <x v="2"/>
    <x v="13"/>
  </r>
  <r>
    <x v="13"/>
    <x v="0"/>
    <n v="303189"/>
    <x v="42"/>
    <x v="1"/>
    <x v="1"/>
    <x v="13"/>
  </r>
  <r>
    <x v="13"/>
    <x v="0"/>
    <n v="303219"/>
    <x v="40"/>
    <x v="0"/>
    <x v="0"/>
    <x v="13"/>
  </r>
  <r>
    <x v="13"/>
    <x v="0"/>
    <n v="303219"/>
    <x v="40"/>
    <x v="2"/>
    <x v="2"/>
    <x v="13"/>
  </r>
  <r>
    <x v="13"/>
    <x v="0"/>
    <n v="317470"/>
    <x v="10"/>
    <x v="0"/>
    <x v="0"/>
    <x v="13"/>
  </r>
  <r>
    <x v="13"/>
    <x v="0"/>
    <n v="317470"/>
    <x v="10"/>
    <x v="2"/>
    <x v="2"/>
    <x v="13"/>
  </r>
  <r>
    <x v="13"/>
    <x v="0"/>
    <n v="317470"/>
    <x v="10"/>
    <x v="1"/>
    <x v="1"/>
    <x v="13"/>
  </r>
  <r>
    <x v="13"/>
    <x v="0"/>
    <n v="216566"/>
    <x v="96"/>
    <x v="0"/>
    <x v="0"/>
    <x v="13"/>
  </r>
  <r>
    <x v="13"/>
    <x v="0"/>
    <n v="216566"/>
    <x v="96"/>
    <x v="2"/>
    <x v="2"/>
    <x v="13"/>
  </r>
  <r>
    <x v="13"/>
    <x v="0"/>
    <n v="216566"/>
    <x v="96"/>
    <x v="1"/>
    <x v="1"/>
    <x v="13"/>
  </r>
  <r>
    <x v="13"/>
    <x v="0"/>
    <n v="2737"/>
    <x v="62"/>
    <x v="2"/>
    <x v="2"/>
    <x v="13"/>
  </r>
  <r>
    <x v="13"/>
    <x v="0"/>
    <n v="117501"/>
    <x v="84"/>
    <x v="0"/>
    <x v="0"/>
    <x v="13"/>
  </r>
  <r>
    <x v="13"/>
    <x v="0"/>
    <n v="117501"/>
    <x v="84"/>
    <x v="2"/>
    <x v="2"/>
    <x v="13"/>
  </r>
  <r>
    <x v="13"/>
    <x v="0"/>
    <n v="117501"/>
    <x v="84"/>
    <x v="1"/>
    <x v="1"/>
    <x v="13"/>
  </r>
  <r>
    <x v="13"/>
    <x v="0"/>
    <n v="130744"/>
    <x v="97"/>
    <x v="0"/>
    <x v="0"/>
    <x v="13"/>
  </r>
  <r>
    <x v="13"/>
    <x v="0"/>
    <n v="130744"/>
    <x v="97"/>
    <x v="2"/>
    <x v="2"/>
    <x v="13"/>
  </r>
  <r>
    <x v="13"/>
    <x v="0"/>
    <n v="204939"/>
    <x v="61"/>
    <x v="0"/>
    <x v="0"/>
    <x v="13"/>
  </r>
  <r>
    <x v="13"/>
    <x v="0"/>
    <n v="204939"/>
    <x v="61"/>
    <x v="2"/>
    <x v="2"/>
    <x v="13"/>
  </r>
  <r>
    <x v="13"/>
    <x v="0"/>
    <n v="204939"/>
    <x v="61"/>
    <x v="1"/>
    <x v="1"/>
    <x v="13"/>
  </r>
  <r>
    <x v="13"/>
    <x v="0"/>
    <n v="301229"/>
    <x v="98"/>
    <x v="0"/>
    <x v="0"/>
    <x v="13"/>
  </r>
  <r>
    <x v="13"/>
    <x v="0"/>
    <n v="301229"/>
    <x v="98"/>
    <x v="2"/>
    <x v="2"/>
    <x v="13"/>
  </r>
  <r>
    <x v="13"/>
    <x v="0"/>
    <n v="301229"/>
    <x v="98"/>
    <x v="1"/>
    <x v="1"/>
    <x v="13"/>
  </r>
  <r>
    <x v="13"/>
    <x v="0"/>
    <n v="302335"/>
    <x v="70"/>
    <x v="2"/>
    <x v="2"/>
    <x v="13"/>
  </r>
  <r>
    <x v="13"/>
    <x v="0"/>
    <n v="140302"/>
    <x v="100"/>
    <x v="0"/>
    <x v="0"/>
    <x v="13"/>
  </r>
  <r>
    <x v="13"/>
    <x v="0"/>
    <n v="140302"/>
    <x v="100"/>
    <x v="2"/>
    <x v="2"/>
    <x v="13"/>
  </r>
  <r>
    <x v="13"/>
    <x v="0"/>
    <n v="140302"/>
    <x v="100"/>
    <x v="1"/>
    <x v="1"/>
    <x v="13"/>
  </r>
  <r>
    <x v="13"/>
    <x v="0"/>
    <n v="218698"/>
    <x v="48"/>
    <x v="0"/>
    <x v="0"/>
    <x v="13"/>
  </r>
  <r>
    <x v="13"/>
    <x v="0"/>
    <n v="218698"/>
    <x v="48"/>
    <x v="2"/>
    <x v="2"/>
    <x v="13"/>
  </r>
  <r>
    <x v="13"/>
    <x v="0"/>
    <n v="218698"/>
    <x v="48"/>
    <x v="1"/>
    <x v="1"/>
    <x v="13"/>
  </r>
  <r>
    <x v="13"/>
    <x v="0"/>
    <n v="218402"/>
    <x v="101"/>
    <x v="0"/>
    <x v="0"/>
    <x v="13"/>
  </r>
  <r>
    <x v="13"/>
    <x v="0"/>
    <n v="218402"/>
    <x v="101"/>
    <x v="2"/>
    <x v="2"/>
    <x v="13"/>
  </r>
  <r>
    <x v="13"/>
    <x v="0"/>
    <n v="218402"/>
    <x v="101"/>
    <x v="1"/>
    <x v="1"/>
    <x v="13"/>
  </r>
  <r>
    <x v="13"/>
    <x v="0"/>
    <n v="315199"/>
    <x v="15"/>
    <x v="0"/>
    <x v="0"/>
    <x v="13"/>
  </r>
  <r>
    <x v="13"/>
    <x v="0"/>
    <n v="315199"/>
    <x v="15"/>
    <x v="2"/>
    <x v="2"/>
    <x v="13"/>
  </r>
  <r>
    <x v="13"/>
    <x v="0"/>
    <n v="301983"/>
    <x v="85"/>
    <x v="0"/>
    <x v="0"/>
    <x v="13"/>
  </r>
  <r>
    <x v="13"/>
    <x v="0"/>
    <n v="301983"/>
    <x v="85"/>
    <x v="2"/>
    <x v="2"/>
    <x v="13"/>
  </r>
  <r>
    <x v="13"/>
    <x v="0"/>
    <n v="301983"/>
    <x v="85"/>
    <x v="1"/>
    <x v="1"/>
    <x v="13"/>
  </r>
  <r>
    <x v="13"/>
    <x v="0"/>
    <n v="302988"/>
    <x v="45"/>
    <x v="0"/>
    <x v="0"/>
    <x v="13"/>
  </r>
  <r>
    <x v="13"/>
    <x v="0"/>
    <n v="302988"/>
    <x v="45"/>
    <x v="2"/>
    <x v="2"/>
    <x v="13"/>
  </r>
  <r>
    <x v="13"/>
    <x v="0"/>
    <n v="302988"/>
    <x v="45"/>
    <x v="1"/>
    <x v="1"/>
    <x v="13"/>
  </r>
  <r>
    <x v="13"/>
    <x v="0"/>
    <n v="205985"/>
    <x v="27"/>
    <x v="2"/>
    <x v="2"/>
    <x v="13"/>
  </r>
  <r>
    <x v="13"/>
    <x v="0"/>
    <n v="218644"/>
    <x v="63"/>
    <x v="0"/>
    <x v="0"/>
    <x v="13"/>
  </r>
  <r>
    <x v="13"/>
    <x v="0"/>
    <n v="218644"/>
    <x v="63"/>
    <x v="2"/>
    <x v="2"/>
    <x v="13"/>
  </r>
  <r>
    <x v="13"/>
    <x v="0"/>
    <n v="218644"/>
    <x v="63"/>
    <x v="1"/>
    <x v="1"/>
    <x v="13"/>
  </r>
  <r>
    <x v="13"/>
    <x v="0"/>
    <n v="144649"/>
    <x v="102"/>
    <x v="0"/>
    <x v="0"/>
    <x v="13"/>
  </r>
  <r>
    <x v="13"/>
    <x v="0"/>
    <n v="144649"/>
    <x v="102"/>
    <x v="2"/>
    <x v="2"/>
    <x v="13"/>
  </r>
  <r>
    <x v="13"/>
    <x v="0"/>
    <n v="144649"/>
    <x v="102"/>
    <x v="1"/>
    <x v="1"/>
    <x v="13"/>
  </r>
  <r>
    <x v="13"/>
    <x v="0"/>
    <n v="169537"/>
    <x v="81"/>
    <x v="0"/>
    <x v="0"/>
    <x v="13"/>
  </r>
  <r>
    <x v="13"/>
    <x v="0"/>
    <n v="169537"/>
    <x v="81"/>
    <x v="2"/>
    <x v="2"/>
    <x v="13"/>
  </r>
  <r>
    <x v="13"/>
    <x v="0"/>
    <n v="169537"/>
    <x v="81"/>
    <x v="1"/>
    <x v="1"/>
    <x v="13"/>
  </r>
  <r>
    <x v="13"/>
    <x v="0"/>
    <n v="204615"/>
    <x v="67"/>
    <x v="0"/>
    <x v="0"/>
    <x v="13"/>
  </r>
  <r>
    <x v="13"/>
    <x v="0"/>
    <n v="204615"/>
    <x v="67"/>
    <x v="2"/>
    <x v="2"/>
    <x v="13"/>
  </r>
  <r>
    <x v="13"/>
    <x v="0"/>
    <n v="204615"/>
    <x v="67"/>
    <x v="1"/>
    <x v="1"/>
    <x v="13"/>
  </r>
  <r>
    <x v="13"/>
    <x v="0"/>
    <n v="216476"/>
    <x v="94"/>
    <x v="0"/>
    <x v="0"/>
    <x v="13"/>
  </r>
  <r>
    <x v="13"/>
    <x v="0"/>
    <n v="216476"/>
    <x v="94"/>
    <x v="2"/>
    <x v="2"/>
    <x v="13"/>
  </r>
  <r>
    <x v="13"/>
    <x v="0"/>
    <n v="216476"/>
    <x v="94"/>
    <x v="1"/>
    <x v="1"/>
    <x v="13"/>
  </r>
  <r>
    <x v="13"/>
    <x v="0"/>
    <n v="149445"/>
    <x v="99"/>
    <x v="0"/>
    <x v="0"/>
    <x v="13"/>
  </r>
  <r>
    <x v="13"/>
    <x v="0"/>
    <n v="149445"/>
    <x v="99"/>
    <x v="2"/>
    <x v="2"/>
    <x v="13"/>
  </r>
  <r>
    <x v="13"/>
    <x v="0"/>
    <n v="149445"/>
    <x v="99"/>
    <x v="1"/>
    <x v="1"/>
    <x v="13"/>
  </r>
  <r>
    <x v="13"/>
    <x v="0"/>
    <n v="314137"/>
    <x v="19"/>
    <x v="2"/>
    <x v="2"/>
    <x v="13"/>
  </r>
  <r>
    <x v="13"/>
    <x v="0"/>
    <n v="314137"/>
    <x v="19"/>
    <x v="1"/>
    <x v="1"/>
    <x v="13"/>
  </r>
  <r>
    <x v="13"/>
    <x v="0"/>
    <n v="206236"/>
    <x v="22"/>
    <x v="0"/>
    <x v="0"/>
    <x v="13"/>
  </r>
  <r>
    <x v="13"/>
    <x v="0"/>
    <n v="206236"/>
    <x v="22"/>
    <x v="2"/>
    <x v="2"/>
    <x v="13"/>
  </r>
  <r>
    <x v="13"/>
    <x v="0"/>
    <n v="206236"/>
    <x v="22"/>
    <x v="1"/>
    <x v="1"/>
    <x v="13"/>
  </r>
  <r>
    <x v="13"/>
    <x v="0"/>
    <n v="209209"/>
    <x v="32"/>
    <x v="0"/>
    <x v="0"/>
    <x v="13"/>
  </r>
  <r>
    <x v="13"/>
    <x v="0"/>
    <n v="209209"/>
    <x v="32"/>
    <x v="2"/>
    <x v="2"/>
    <x v="13"/>
  </r>
  <r>
    <x v="13"/>
    <x v="0"/>
    <n v="209209"/>
    <x v="32"/>
    <x v="1"/>
    <x v="1"/>
    <x v="13"/>
  </r>
  <r>
    <x v="13"/>
    <x v="0"/>
    <n v="217081"/>
    <x v="13"/>
    <x v="0"/>
    <x v="0"/>
    <x v="13"/>
  </r>
  <r>
    <x v="13"/>
    <x v="0"/>
    <n v="217081"/>
    <x v="13"/>
    <x v="2"/>
    <x v="2"/>
    <x v="13"/>
  </r>
  <r>
    <x v="13"/>
    <x v="0"/>
    <n v="217081"/>
    <x v="13"/>
    <x v="1"/>
    <x v="1"/>
    <x v="13"/>
  </r>
  <r>
    <x v="13"/>
    <x v="0"/>
    <n v="218916"/>
    <x v="17"/>
    <x v="0"/>
    <x v="0"/>
    <x v="13"/>
  </r>
  <r>
    <x v="13"/>
    <x v="0"/>
    <n v="218916"/>
    <x v="17"/>
    <x v="2"/>
    <x v="2"/>
    <x v="13"/>
  </r>
  <r>
    <x v="13"/>
    <x v="0"/>
    <n v="204952"/>
    <x v="56"/>
    <x v="0"/>
    <x v="0"/>
    <x v="13"/>
  </r>
  <r>
    <x v="13"/>
    <x v="0"/>
    <n v="204952"/>
    <x v="56"/>
    <x v="2"/>
    <x v="2"/>
    <x v="13"/>
  </r>
  <r>
    <x v="13"/>
    <x v="0"/>
    <n v="214951"/>
    <x v="78"/>
    <x v="0"/>
    <x v="0"/>
    <x v="13"/>
  </r>
  <r>
    <x v="13"/>
    <x v="0"/>
    <n v="214951"/>
    <x v="78"/>
    <x v="2"/>
    <x v="2"/>
    <x v="13"/>
  </r>
  <r>
    <x v="13"/>
    <x v="0"/>
    <n v="214951"/>
    <x v="78"/>
    <x v="1"/>
    <x v="1"/>
    <x v="13"/>
  </r>
  <r>
    <x v="0"/>
    <x v="3"/>
    <n v="302737"/>
    <x v="52"/>
    <x v="3"/>
    <x v="3"/>
    <x v="0"/>
  </r>
  <r>
    <x v="0"/>
    <x v="3"/>
    <n v="210557"/>
    <x v="47"/>
    <x v="3"/>
    <x v="3"/>
    <x v="0"/>
  </r>
  <r>
    <x v="0"/>
    <x v="3"/>
    <n v="207404"/>
    <x v="16"/>
    <x v="3"/>
    <x v="3"/>
    <x v="0"/>
  </r>
  <r>
    <x v="0"/>
    <x v="3"/>
    <n v="218644"/>
    <x v="63"/>
    <x v="3"/>
    <x v="3"/>
    <x v="0"/>
  </r>
  <r>
    <x v="0"/>
    <x v="4"/>
    <n v="131643"/>
    <x v="0"/>
    <x v="3"/>
    <x v="3"/>
    <x v="0"/>
  </r>
  <r>
    <x v="0"/>
    <x v="5"/>
    <n v="218674"/>
    <x v="57"/>
    <x v="3"/>
    <x v="3"/>
    <x v="0"/>
  </r>
  <r>
    <x v="0"/>
    <x v="4"/>
    <n v="302769"/>
    <x v="49"/>
    <x v="3"/>
    <x v="3"/>
    <x v="0"/>
  </r>
  <r>
    <x v="0"/>
    <x v="4"/>
    <n v="205349"/>
    <x v="39"/>
    <x v="3"/>
    <x v="3"/>
    <x v="0"/>
  </r>
  <r>
    <x v="0"/>
    <x v="5"/>
    <n v="158751"/>
    <x v="54"/>
    <x v="3"/>
    <x v="3"/>
    <x v="0"/>
  </r>
  <r>
    <x v="0"/>
    <x v="4"/>
    <n v="300219"/>
    <x v="3"/>
    <x v="3"/>
    <x v="3"/>
    <x v="0"/>
  </r>
  <r>
    <x v="0"/>
    <x v="4"/>
    <n v="213849"/>
    <x v="58"/>
    <x v="3"/>
    <x v="3"/>
    <x v="0"/>
  </r>
  <r>
    <x v="0"/>
    <x v="4"/>
    <n v="161003"/>
    <x v="88"/>
    <x v="3"/>
    <x v="3"/>
    <x v="0"/>
  </r>
  <r>
    <x v="0"/>
    <x v="3"/>
    <n v="300987"/>
    <x v="59"/>
    <x v="3"/>
    <x v="3"/>
    <x v="0"/>
  </r>
  <r>
    <x v="0"/>
    <x v="3"/>
    <n v="211470"/>
    <x v="53"/>
    <x v="3"/>
    <x v="3"/>
    <x v="0"/>
  </r>
  <r>
    <x v="0"/>
    <x v="3"/>
    <n v="218987"/>
    <x v="8"/>
    <x v="3"/>
    <x v="3"/>
    <x v="0"/>
  </r>
  <r>
    <x v="0"/>
    <x v="3"/>
    <n v="117819"/>
    <x v="83"/>
    <x v="3"/>
    <x v="3"/>
    <x v="0"/>
  </r>
  <r>
    <x v="0"/>
    <x v="3"/>
    <n v="206236"/>
    <x v="22"/>
    <x v="3"/>
    <x v="3"/>
    <x v="0"/>
  </r>
  <r>
    <x v="0"/>
    <x v="3"/>
    <n v="120762"/>
    <x v="103"/>
    <x v="3"/>
    <x v="3"/>
    <x v="0"/>
  </r>
  <r>
    <x v="0"/>
    <x v="3"/>
    <n v="117442"/>
    <x v="68"/>
    <x v="3"/>
    <x v="3"/>
    <x v="0"/>
  </r>
  <r>
    <x v="0"/>
    <x v="4"/>
    <n v="204615"/>
    <x v="67"/>
    <x v="3"/>
    <x v="3"/>
    <x v="0"/>
  </r>
  <r>
    <x v="0"/>
    <x v="3"/>
    <n v="209209"/>
    <x v="32"/>
    <x v="3"/>
    <x v="3"/>
    <x v="0"/>
  </r>
  <r>
    <x v="0"/>
    <x v="4"/>
    <n v="168458"/>
    <x v="75"/>
    <x v="3"/>
    <x v="3"/>
    <x v="0"/>
  </r>
  <r>
    <x v="0"/>
    <x v="3"/>
    <n v="149445"/>
    <x v="99"/>
    <x v="3"/>
    <x v="3"/>
    <x v="0"/>
  </r>
  <r>
    <x v="0"/>
    <x v="3"/>
    <n v="205104"/>
    <x v="51"/>
    <x v="3"/>
    <x v="3"/>
    <x v="0"/>
  </r>
  <r>
    <x v="0"/>
    <x v="3"/>
    <n v="218628"/>
    <x v="76"/>
    <x v="3"/>
    <x v="3"/>
    <x v="0"/>
  </r>
  <r>
    <x v="0"/>
    <x v="3"/>
    <n v="303219"/>
    <x v="40"/>
    <x v="3"/>
    <x v="3"/>
    <x v="0"/>
  </r>
  <r>
    <x v="0"/>
    <x v="3"/>
    <n v="507"/>
    <x v="9"/>
    <x v="3"/>
    <x v="3"/>
    <x v="0"/>
  </r>
  <r>
    <x v="0"/>
    <x v="3"/>
    <n v="117866"/>
    <x v="87"/>
    <x v="3"/>
    <x v="3"/>
    <x v="0"/>
  </r>
  <r>
    <x v="0"/>
    <x v="5"/>
    <n v="315199"/>
    <x v="15"/>
    <x v="3"/>
    <x v="3"/>
    <x v="0"/>
  </r>
  <r>
    <x v="0"/>
    <x v="3"/>
    <n v="214951"/>
    <x v="78"/>
    <x v="3"/>
    <x v="3"/>
    <x v="0"/>
  </r>
  <r>
    <x v="0"/>
    <x v="3"/>
    <n v="207743"/>
    <x v="20"/>
    <x v="3"/>
    <x v="3"/>
    <x v="0"/>
  </r>
  <r>
    <x v="1"/>
    <x v="3"/>
    <n v="302737"/>
    <x v="52"/>
    <x v="3"/>
    <x v="3"/>
    <x v="1"/>
  </r>
  <r>
    <x v="1"/>
    <x v="3"/>
    <n v="210557"/>
    <x v="47"/>
    <x v="3"/>
    <x v="3"/>
    <x v="1"/>
  </r>
  <r>
    <x v="1"/>
    <x v="3"/>
    <n v="207404"/>
    <x v="16"/>
    <x v="3"/>
    <x v="3"/>
    <x v="1"/>
  </r>
  <r>
    <x v="1"/>
    <x v="3"/>
    <n v="218644"/>
    <x v="63"/>
    <x v="3"/>
    <x v="3"/>
    <x v="1"/>
  </r>
  <r>
    <x v="1"/>
    <x v="4"/>
    <n v="131643"/>
    <x v="0"/>
    <x v="3"/>
    <x v="3"/>
    <x v="1"/>
  </r>
  <r>
    <x v="1"/>
    <x v="5"/>
    <n v="218674"/>
    <x v="57"/>
    <x v="3"/>
    <x v="3"/>
    <x v="1"/>
  </r>
  <r>
    <x v="1"/>
    <x v="4"/>
    <n v="302769"/>
    <x v="49"/>
    <x v="3"/>
    <x v="3"/>
    <x v="1"/>
  </r>
  <r>
    <x v="1"/>
    <x v="4"/>
    <n v="205349"/>
    <x v="39"/>
    <x v="3"/>
    <x v="3"/>
    <x v="1"/>
  </r>
  <r>
    <x v="1"/>
    <x v="5"/>
    <n v="158751"/>
    <x v="54"/>
    <x v="3"/>
    <x v="3"/>
    <x v="1"/>
  </r>
  <r>
    <x v="1"/>
    <x v="4"/>
    <n v="300219"/>
    <x v="3"/>
    <x v="3"/>
    <x v="3"/>
    <x v="1"/>
  </r>
  <r>
    <x v="1"/>
    <x v="4"/>
    <n v="213849"/>
    <x v="58"/>
    <x v="3"/>
    <x v="3"/>
    <x v="1"/>
  </r>
  <r>
    <x v="1"/>
    <x v="4"/>
    <n v="161003"/>
    <x v="88"/>
    <x v="3"/>
    <x v="3"/>
    <x v="1"/>
  </r>
  <r>
    <x v="1"/>
    <x v="3"/>
    <n v="300987"/>
    <x v="59"/>
    <x v="3"/>
    <x v="3"/>
    <x v="1"/>
  </r>
  <r>
    <x v="1"/>
    <x v="3"/>
    <n v="211470"/>
    <x v="53"/>
    <x v="3"/>
    <x v="3"/>
    <x v="1"/>
  </r>
  <r>
    <x v="1"/>
    <x v="3"/>
    <n v="218987"/>
    <x v="8"/>
    <x v="3"/>
    <x v="3"/>
    <x v="1"/>
  </r>
  <r>
    <x v="1"/>
    <x v="3"/>
    <n v="117819"/>
    <x v="83"/>
    <x v="3"/>
    <x v="3"/>
    <x v="1"/>
  </r>
  <r>
    <x v="1"/>
    <x v="3"/>
    <n v="206236"/>
    <x v="22"/>
    <x v="3"/>
    <x v="3"/>
    <x v="1"/>
  </r>
  <r>
    <x v="1"/>
    <x v="3"/>
    <n v="120762"/>
    <x v="103"/>
    <x v="3"/>
    <x v="3"/>
    <x v="1"/>
  </r>
  <r>
    <x v="1"/>
    <x v="3"/>
    <n v="117442"/>
    <x v="68"/>
    <x v="3"/>
    <x v="3"/>
    <x v="1"/>
  </r>
  <r>
    <x v="1"/>
    <x v="4"/>
    <n v="204615"/>
    <x v="67"/>
    <x v="3"/>
    <x v="3"/>
    <x v="1"/>
  </r>
  <r>
    <x v="1"/>
    <x v="3"/>
    <n v="209209"/>
    <x v="32"/>
    <x v="3"/>
    <x v="3"/>
    <x v="1"/>
  </r>
  <r>
    <x v="1"/>
    <x v="4"/>
    <n v="168458"/>
    <x v="75"/>
    <x v="3"/>
    <x v="3"/>
    <x v="1"/>
  </r>
  <r>
    <x v="1"/>
    <x v="3"/>
    <n v="149445"/>
    <x v="99"/>
    <x v="3"/>
    <x v="3"/>
    <x v="1"/>
  </r>
  <r>
    <x v="1"/>
    <x v="3"/>
    <n v="205104"/>
    <x v="51"/>
    <x v="3"/>
    <x v="3"/>
    <x v="1"/>
  </r>
  <r>
    <x v="1"/>
    <x v="3"/>
    <n v="218628"/>
    <x v="76"/>
    <x v="3"/>
    <x v="3"/>
    <x v="1"/>
  </r>
  <r>
    <x v="1"/>
    <x v="3"/>
    <n v="303219"/>
    <x v="40"/>
    <x v="3"/>
    <x v="3"/>
    <x v="1"/>
  </r>
  <r>
    <x v="1"/>
    <x v="3"/>
    <n v="507"/>
    <x v="9"/>
    <x v="3"/>
    <x v="3"/>
    <x v="1"/>
  </r>
  <r>
    <x v="1"/>
    <x v="3"/>
    <n v="117866"/>
    <x v="87"/>
    <x v="3"/>
    <x v="3"/>
    <x v="1"/>
  </r>
  <r>
    <x v="1"/>
    <x v="5"/>
    <n v="315199"/>
    <x v="15"/>
    <x v="3"/>
    <x v="3"/>
    <x v="1"/>
  </r>
  <r>
    <x v="1"/>
    <x v="3"/>
    <n v="214951"/>
    <x v="78"/>
    <x v="3"/>
    <x v="3"/>
    <x v="1"/>
  </r>
  <r>
    <x v="1"/>
    <x v="3"/>
    <n v="207743"/>
    <x v="20"/>
    <x v="3"/>
    <x v="3"/>
    <x v="1"/>
  </r>
  <r>
    <x v="2"/>
    <x v="3"/>
    <n v="302737"/>
    <x v="52"/>
    <x v="3"/>
    <x v="3"/>
    <x v="2"/>
  </r>
  <r>
    <x v="2"/>
    <x v="3"/>
    <n v="210557"/>
    <x v="47"/>
    <x v="3"/>
    <x v="3"/>
    <x v="2"/>
  </r>
  <r>
    <x v="2"/>
    <x v="3"/>
    <n v="207404"/>
    <x v="16"/>
    <x v="3"/>
    <x v="3"/>
    <x v="2"/>
  </r>
  <r>
    <x v="2"/>
    <x v="3"/>
    <n v="218644"/>
    <x v="63"/>
    <x v="3"/>
    <x v="3"/>
    <x v="2"/>
  </r>
  <r>
    <x v="2"/>
    <x v="4"/>
    <n v="131643"/>
    <x v="0"/>
    <x v="3"/>
    <x v="3"/>
    <x v="2"/>
  </r>
  <r>
    <x v="2"/>
    <x v="5"/>
    <n v="218674"/>
    <x v="57"/>
    <x v="3"/>
    <x v="3"/>
    <x v="2"/>
  </r>
  <r>
    <x v="2"/>
    <x v="4"/>
    <n v="302769"/>
    <x v="49"/>
    <x v="3"/>
    <x v="3"/>
    <x v="2"/>
  </r>
  <r>
    <x v="2"/>
    <x v="4"/>
    <n v="205349"/>
    <x v="39"/>
    <x v="3"/>
    <x v="3"/>
    <x v="2"/>
  </r>
  <r>
    <x v="2"/>
    <x v="5"/>
    <n v="158751"/>
    <x v="54"/>
    <x v="3"/>
    <x v="3"/>
    <x v="2"/>
  </r>
  <r>
    <x v="2"/>
    <x v="4"/>
    <n v="300219"/>
    <x v="3"/>
    <x v="3"/>
    <x v="3"/>
    <x v="2"/>
  </r>
  <r>
    <x v="2"/>
    <x v="4"/>
    <n v="213849"/>
    <x v="58"/>
    <x v="3"/>
    <x v="3"/>
    <x v="2"/>
  </r>
  <r>
    <x v="2"/>
    <x v="4"/>
    <n v="161003"/>
    <x v="88"/>
    <x v="3"/>
    <x v="3"/>
    <x v="2"/>
  </r>
  <r>
    <x v="2"/>
    <x v="3"/>
    <n v="300987"/>
    <x v="59"/>
    <x v="3"/>
    <x v="3"/>
    <x v="2"/>
  </r>
  <r>
    <x v="2"/>
    <x v="3"/>
    <n v="211470"/>
    <x v="53"/>
    <x v="3"/>
    <x v="3"/>
    <x v="2"/>
  </r>
  <r>
    <x v="2"/>
    <x v="3"/>
    <n v="218987"/>
    <x v="8"/>
    <x v="3"/>
    <x v="3"/>
    <x v="2"/>
  </r>
  <r>
    <x v="2"/>
    <x v="3"/>
    <n v="117819"/>
    <x v="83"/>
    <x v="3"/>
    <x v="3"/>
    <x v="2"/>
  </r>
  <r>
    <x v="2"/>
    <x v="3"/>
    <n v="206236"/>
    <x v="22"/>
    <x v="3"/>
    <x v="3"/>
    <x v="2"/>
  </r>
  <r>
    <x v="2"/>
    <x v="3"/>
    <n v="120762"/>
    <x v="103"/>
    <x v="3"/>
    <x v="3"/>
    <x v="2"/>
  </r>
  <r>
    <x v="2"/>
    <x v="3"/>
    <n v="117442"/>
    <x v="68"/>
    <x v="3"/>
    <x v="3"/>
    <x v="2"/>
  </r>
  <r>
    <x v="2"/>
    <x v="4"/>
    <n v="204615"/>
    <x v="67"/>
    <x v="3"/>
    <x v="3"/>
    <x v="2"/>
  </r>
  <r>
    <x v="2"/>
    <x v="3"/>
    <n v="209209"/>
    <x v="32"/>
    <x v="3"/>
    <x v="3"/>
    <x v="2"/>
  </r>
  <r>
    <x v="2"/>
    <x v="4"/>
    <n v="168458"/>
    <x v="75"/>
    <x v="3"/>
    <x v="3"/>
    <x v="2"/>
  </r>
  <r>
    <x v="2"/>
    <x v="3"/>
    <n v="149445"/>
    <x v="99"/>
    <x v="3"/>
    <x v="3"/>
    <x v="2"/>
  </r>
  <r>
    <x v="2"/>
    <x v="3"/>
    <n v="205104"/>
    <x v="51"/>
    <x v="3"/>
    <x v="3"/>
    <x v="2"/>
  </r>
  <r>
    <x v="2"/>
    <x v="3"/>
    <n v="218628"/>
    <x v="76"/>
    <x v="3"/>
    <x v="3"/>
    <x v="2"/>
  </r>
  <r>
    <x v="2"/>
    <x v="3"/>
    <n v="303219"/>
    <x v="40"/>
    <x v="3"/>
    <x v="3"/>
    <x v="2"/>
  </r>
  <r>
    <x v="2"/>
    <x v="3"/>
    <n v="507"/>
    <x v="9"/>
    <x v="3"/>
    <x v="3"/>
    <x v="2"/>
  </r>
  <r>
    <x v="2"/>
    <x v="3"/>
    <n v="117866"/>
    <x v="87"/>
    <x v="3"/>
    <x v="3"/>
    <x v="2"/>
  </r>
  <r>
    <x v="2"/>
    <x v="5"/>
    <n v="315199"/>
    <x v="15"/>
    <x v="3"/>
    <x v="3"/>
    <x v="2"/>
  </r>
  <r>
    <x v="2"/>
    <x v="3"/>
    <n v="214951"/>
    <x v="78"/>
    <x v="3"/>
    <x v="3"/>
    <x v="2"/>
  </r>
  <r>
    <x v="2"/>
    <x v="3"/>
    <n v="207743"/>
    <x v="20"/>
    <x v="3"/>
    <x v="3"/>
    <x v="2"/>
  </r>
  <r>
    <x v="3"/>
    <x v="3"/>
    <n v="302737"/>
    <x v="52"/>
    <x v="3"/>
    <x v="3"/>
    <x v="3"/>
  </r>
  <r>
    <x v="3"/>
    <x v="3"/>
    <n v="210557"/>
    <x v="47"/>
    <x v="3"/>
    <x v="3"/>
    <x v="3"/>
  </r>
  <r>
    <x v="3"/>
    <x v="3"/>
    <n v="207404"/>
    <x v="16"/>
    <x v="3"/>
    <x v="3"/>
    <x v="3"/>
  </r>
  <r>
    <x v="3"/>
    <x v="3"/>
    <n v="218644"/>
    <x v="63"/>
    <x v="3"/>
    <x v="3"/>
    <x v="3"/>
  </r>
  <r>
    <x v="3"/>
    <x v="4"/>
    <n v="131643"/>
    <x v="0"/>
    <x v="3"/>
    <x v="3"/>
    <x v="3"/>
  </r>
  <r>
    <x v="3"/>
    <x v="5"/>
    <n v="218674"/>
    <x v="57"/>
    <x v="3"/>
    <x v="3"/>
    <x v="3"/>
  </r>
  <r>
    <x v="3"/>
    <x v="4"/>
    <n v="302769"/>
    <x v="49"/>
    <x v="3"/>
    <x v="3"/>
    <x v="3"/>
  </r>
  <r>
    <x v="3"/>
    <x v="4"/>
    <n v="205349"/>
    <x v="39"/>
    <x v="3"/>
    <x v="3"/>
    <x v="3"/>
  </r>
  <r>
    <x v="3"/>
    <x v="5"/>
    <n v="158751"/>
    <x v="54"/>
    <x v="3"/>
    <x v="3"/>
    <x v="3"/>
  </r>
  <r>
    <x v="3"/>
    <x v="4"/>
    <n v="300219"/>
    <x v="3"/>
    <x v="3"/>
    <x v="3"/>
    <x v="3"/>
  </r>
  <r>
    <x v="3"/>
    <x v="4"/>
    <n v="213849"/>
    <x v="58"/>
    <x v="3"/>
    <x v="3"/>
    <x v="3"/>
  </r>
  <r>
    <x v="3"/>
    <x v="4"/>
    <n v="161003"/>
    <x v="88"/>
    <x v="3"/>
    <x v="3"/>
    <x v="3"/>
  </r>
  <r>
    <x v="3"/>
    <x v="3"/>
    <n v="300987"/>
    <x v="59"/>
    <x v="3"/>
    <x v="3"/>
    <x v="3"/>
  </r>
  <r>
    <x v="3"/>
    <x v="3"/>
    <n v="211470"/>
    <x v="53"/>
    <x v="3"/>
    <x v="3"/>
    <x v="3"/>
  </r>
  <r>
    <x v="3"/>
    <x v="3"/>
    <n v="218987"/>
    <x v="8"/>
    <x v="3"/>
    <x v="3"/>
    <x v="3"/>
  </r>
  <r>
    <x v="3"/>
    <x v="3"/>
    <n v="117819"/>
    <x v="83"/>
    <x v="3"/>
    <x v="3"/>
    <x v="3"/>
  </r>
  <r>
    <x v="3"/>
    <x v="3"/>
    <n v="206236"/>
    <x v="22"/>
    <x v="3"/>
    <x v="3"/>
    <x v="3"/>
  </r>
  <r>
    <x v="3"/>
    <x v="3"/>
    <n v="120762"/>
    <x v="103"/>
    <x v="3"/>
    <x v="3"/>
    <x v="3"/>
  </r>
  <r>
    <x v="3"/>
    <x v="3"/>
    <n v="117442"/>
    <x v="68"/>
    <x v="3"/>
    <x v="3"/>
    <x v="3"/>
  </r>
  <r>
    <x v="3"/>
    <x v="4"/>
    <n v="204615"/>
    <x v="67"/>
    <x v="3"/>
    <x v="3"/>
    <x v="3"/>
  </r>
  <r>
    <x v="3"/>
    <x v="3"/>
    <n v="209209"/>
    <x v="32"/>
    <x v="3"/>
    <x v="3"/>
    <x v="3"/>
  </r>
  <r>
    <x v="3"/>
    <x v="4"/>
    <n v="168458"/>
    <x v="75"/>
    <x v="3"/>
    <x v="3"/>
    <x v="3"/>
  </r>
  <r>
    <x v="3"/>
    <x v="3"/>
    <n v="149445"/>
    <x v="99"/>
    <x v="3"/>
    <x v="3"/>
    <x v="3"/>
  </r>
  <r>
    <x v="3"/>
    <x v="3"/>
    <n v="205104"/>
    <x v="51"/>
    <x v="3"/>
    <x v="3"/>
    <x v="3"/>
  </r>
  <r>
    <x v="3"/>
    <x v="3"/>
    <n v="218628"/>
    <x v="76"/>
    <x v="3"/>
    <x v="3"/>
    <x v="3"/>
  </r>
  <r>
    <x v="3"/>
    <x v="3"/>
    <n v="303219"/>
    <x v="40"/>
    <x v="3"/>
    <x v="3"/>
    <x v="3"/>
  </r>
  <r>
    <x v="3"/>
    <x v="3"/>
    <n v="507"/>
    <x v="9"/>
    <x v="3"/>
    <x v="3"/>
    <x v="3"/>
  </r>
  <r>
    <x v="3"/>
    <x v="3"/>
    <n v="117866"/>
    <x v="87"/>
    <x v="3"/>
    <x v="3"/>
    <x v="3"/>
  </r>
  <r>
    <x v="3"/>
    <x v="5"/>
    <n v="315199"/>
    <x v="15"/>
    <x v="3"/>
    <x v="3"/>
    <x v="3"/>
  </r>
  <r>
    <x v="3"/>
    <x v="3"/>
    <n v="214951"/>
    <x v="78"/>
    <x v="3"/>
    <x v="3"/>
    <x v="3"/>
  </r>
  <r>
    <x v="3"/>
    <x v="3"/>
    <n v="207743"/>
    <x v="20"/>
    <x v="3"/>
    <x v="3"/>
    <x v="3"/>
  </r>
  <r>
    <x v="4"/>
    <x v="4"/>
    <n v="204615"/>
    <x v="67"/>
    <x v="3"/>
    <x v="3"/>
    <x v="4"/>
  </r>
  <r>
    <x v="4"/>
    <x v="3"/>
    <n v="315199"/>
    <x v="15"/>
    <x v="3"/>
    <x v="3"/>
    <x v="4"/>
  </r>
  <r>
    <x v="4"/>
    <x v="3"/>
    <n v="218628"/>
    <x v="76"/>
    <x v="3"/>
    <x v="3"/>
    <x v="4"/>
  </r>
  <r>
    <x v="4"/>
    <x v="3"/>
    <n v="303219"/>
    <x v="40"/>
    <x v="3"/>
    <x v="3"/>
    <x v="4"/>
  </r>
  <r>
    <x v="4"/>
    <x v="3"/>
    <n v="214951"/>
    <x v="78"/>
    <x v="3"/>
    <x v="3"/>
    <x v="4"/>
  </r>
  <r>
    <x v="4"/>
    <x v="3"/>
    <n v="117819"/>
    <x v="83"/>
    <x v="3"/>
    <x v="3"/>
    <x v="4"/>
  </r>
  <r>
    <x v="4"/>
    <x v="2"/>
    <n v="300219"/>
    <x v="3"/>
    <x v="3"/>
    <x v="3"/>
    <x v="4"/>
  </r>
  <r>
    <x v="4"/>
    <x v="4"/>
    <n v="168458"/>
    <x v="75"/>
    <x v="3"/>
    <x v="3"/>
    <x v="4"/>
  </r>
  <r>
    <x v="4"/>
    <x v="3"/>
    <n v="207404"/>
    <x v="16"/>
    <x v="3"/>
    <x v="3"/>
    <x v="4"/>
  </r>
  <r>
    <x v="4"/>
    <x v="2"/>
    <n v="158751"/>
    <x v="54"/>
    <x v="3"/>
    <x v="3"/>
    <x v="4"/>
  </r>
  <r>
    <x v="4"/>
    <x v="3"/>
    <n v="206236"/>
    <x v="22"/>
    <x v="3"/>
    <x v="3"/>
    <x v="4"/>
  </r>
  <r>
    <x v="4"/>
    <x v="3"/>
    <n v="205104"/>
    <x v="51"/>
    <x v="3"/>
    <x v="3"/>
    <x v="4"/>
  </r>
  <r>
    <x v="4"/>
    <x v="3"/>
    <n v="120762"/>
    <x v="103"/>
    <x v="3"/>
    <x v="3"/>
    <x v="4"/>
  </r>
  <r>
    <x v="4"/>
    <x v="3"/>
    <n v="300987"/>
    <x v="59"/>
    <x v="3"/>
    <x v="3"/>
    <x v="4"/>
  </r>
  <r>
    <x v="4"/>
    <x v="3"/>
    <n v="218987"/>
    <x v="8"/>
    <x v="3"/>
    <x v="3"/>
    <x v="4"/>
  </r>
  <r>
    <x v="4"/>
    <x v="3"/>
    <n v="209209"/>
    <x v="32"/>
    <x v="3"/>
    <x v="3"/>
    <x v="4"/>
  </r>
  <r>
    <x v="4"/>
    <x v="3"/>
    <n v="149445"/>
    <x v="99"/>
    <x v="3"/>
    <x v="3"/>
    <x v="4"/>
  </r>
  <r>
    <x v="4"/>
    <x v="1"/>
    <n v="218644"/>
    <x v="63"/>
    <x v="3"/>
    <x v="3"/>
    <x v="4"/>
  </r>
  <r>
    <x v="4"/>
    <x v="3"/>
    <n v="211470"/>
    <x v="53"/>
    <x v="3"/>
    <x v="3"/>
    <x v="4"/>
  </r>
  <r>
    <x v="4"/>
    <x v="2"/>
    <n v="210557"/>
    <x v="47"/>
    <x v="3"/>
    <x v="3"/>
    <x v="4"/>
  </r>
  <r>
    <x v="4"/>
    <x v="3"/>
    <n v="117866"/>
    <x v="87"/>
    <x v="3"/>
    <x v="3"/>
    <x v="4"/>
  </r>
  <r>
    <x v="4"/>
    <x v="5"/>
    <n v="218674"/>
    <x v="57"/>
    <x v="3"/>
    <x v="3"/>
    <x v="4"/>
  </r>
  <r>
    <x v="4"/>
    <x v="4"/>
    <n v="302769"/>
    <x v="49"/>
    <x v="3"/>
    <x v="3"/>
    <x v="4"/>
  </r>
  <r>
    <x v="4"/>
    <x v="0"/>
    <n v="117442"/>
    <x v="68"/>
    <x v="3"/>
    <x v="3"/>
    <x v="4"/>
  </r>
  <r>
    <x v="4"/>
    <x v="3"/>
    <n v="205349"/>
    <x v="39"/>
    <x v="3"/>
    <x v="3"/>
    <x v="4"/>
  </r>
  <r>
    <x v="4"/>
    <x v="4"/>
    <n v="213849"/>
    <x v="58"/>
    <x v="3"/>
    <x v="3"/>
    <x v="4"/>
  </r>
  <r>
    <x v="4"/>
    <x v="3"/>
    <n v="207743"/>
    <x v="20"/>
    <x v="3"/>
    <x v="3"/>
    <x v="4"/>
  </r>
  <r>
    <x v="4"/>
    <x v="3"/>
    <n v="302737"/>
    <x v="52"/>
    <x v="3"/>
    <x v="3"/>
    <x v="4"/>
  </r>
  <r>
    <x v="4"/>
    <x v="4"/>
    <n v="161003"/>
    <x v="88"/>
    <x v="3"/>
    <x v="3"/>
    <x v="4"/>
  </r>
  <r>
    <x v="4"/>
    <x v="4"/>
    <n v="131643"/>
    <x v="0"/>
    <x v="3"/>
    <x v="3"/>
    <x v="4"/>
  </r>
  <r>
    <x v="4"/>
    <x v="3"/>
    <n v="507"/>
    <x v="9"/>
    <x v="3"/>
    <x v="3"/>
    <x v="4"/>
  </r>
  <r>
    <x v="5"/>
    <x v="4"/>
    <n v="204615"/>
    <x v="67"/>
    <x v="3"/>
    <x v="3"/>
    <x v="5"/>
  </r>
  <r>
    <x v="5"/>
    <x v="3"/>
    <n v="315199"/>
    <x v="15"/>
    <x v="3"/>
    <x v="3"/>
    <x v="5"/>
  </r>
  <r>
    <x v="5"/>
    <x v="3"/>
    <n v="218628"/>
    <x v="76"/>
    <x v="3"/>
    <x v="3"/>
    <x v="5"/>
  </r>
  <r>
    <x v="5"/>
    <x v="3"/>
    <n v="303219"/>
    <x v="40"/>
    <x v="3"/>
    <x v="3"/>
    <x v="5"/>
  </r>
  <r>
    <x v="5"/>
    <x v="3"/>
    <n v="214951"/>
    <x v="78"/>
    <x v="3"/>
    <x v="3"/>
    <x v="5"/>
  </r>
  <r>
    <x v="5"/>
    <x v="3"/>
    <n v="117819"/>
    <x v="83"/>
    <x v="3"/>
    <x v="3"/>
    <x v="5"/>
  </r>
  <r>
    <x v="5"/>
    <x v="2"/>
    <n v="300219"/>
    <x v="3"/>
    <x v="3"/>
    <x v="3"/>
    <x v="5"/>
  </r>
  <r>
    <x v="5"/>
    <x v="4"/>
    <n v="168458"/>
    <x v="75"/>
    <x v="3"/>
    <x v="3"/>
    <x v="5"/>
  </r>
  <r>
    <x v="5"/>
    <x v="3"/>
    <n v="207404"/>
    <x v="16"/>
    <x v="3"/>
    <x v="3"/>
    <x v="5"/>
  </r>
  <r>
    <x v="5"/>
    <x v="2"/>
    <n v="158751"/>
    <x v="54"/>
    <x v="3"/>
    <x v="3"/>
    <x v="5"/>
  </r>
  <r>
    <x v="5"/>
    <x v="3"/>
    <n v="206236"/>
    <x v="22"/>
    <x v="3"/>
    <x v="3"/>
    <x v="5"/>
  </r>
  <r>
    <x v="5"/>
    <x v="3"/>
    <n v="205104"/>
    <x v="51"/>
    <x v="3"/>
    <x v="3"/>
    <x v="5"/>
  </r>
  <r>
    <x v="5"/>
    <x v="3"/>
    <n v="120762"/>
    <x v="103"/>
    <x v="3"/>
    <x v="3"/>
    <x v="5"/>
  </r>
  <r>
    <x v="5"/>
    <x v="3"/>
    <n v="300987"/>
    <x v="59"/>
    <x v="3"/>
    <x v="3"/>
    <x v="5"/>
  </r>
  <r>
    <x v="5"/>
    <x v="3"/>
    <n v="218987"/>
    <x v="8"/>
    <x v="3"/>
    <x v="3"/>
    <x v="5"/>
  </r>
  <r>
    <x v="5"/>
    <x v="3"/>
    <n v="209209"/>
    <x v="32"/>
    <x v="3"/>
    <x v="3"/>
    <x v="5"/>
  </r>
  <r>
    <x v="5"/>
    <x v="3"/>
    <n v="149445"/>
    <x v="99"/>
    <x v="3"/>
    <x v="3"/>
    <x v="5"/>
  </r>
  <r>
    <x v="5"/>
    <x v="1"/>
    <n v="218644"/>
    <x v="63"/>
    <x v="3"/>
    <x v="3"/>
    <x v="5"/>
  </r>
  <r>
    <x v="5"/>
    <x v="3"/>
    <n v="211470"/>
    <x v="53"/>
    <x v="3"/>
    <x v="3"/>
    <x v="5"/>
  </r>
  <r>
    <x v="5"/>
    <x v="2"/>
    <n v="210557"/>
    <x v="47"/>
    <x v="3"/>
    <x v="3"/>
    <x v="5"/>
  </r>
  <r>
    <x v="5"/>
    <x v="3"/>
    <n v="117866"/>
    <x v="87"/>
    <x v="3"/>
    <x v="3"/>
    <x v="5"/>
  </r>
  <r>
    <x v="5"/>
    <x v="5"/>
    <n v="218674"/>
    <x v="57"/>
    <x v="3"/>
    <x v="3"/>
    <x v="5"/>
  </r>
  <r>
    <x v="5"/>
    <x v="4"/>
    <n v="302769"/>
    <x v="49"/>
    <x v="3"/>
    <x v="3"/>
    <x v="5"/>
  </r>
  <r>
    <x v="5"/>
    <x v="0"/>
    <n v="117442"/>
    <x v="68"/>
    <x v="3"/>
    <x v="3"/>
    <x v="5"/>
  </r>
  <r>
    <x v="5"/>
    <x v="3"/>
    <n v="205349"/>
    <x v="39"/>
    <x v="3"/>
    <x v="3"/>
    <x v="5"/>
  </r>
  <r>
    <x v="5"/>
    <x v="4"/>
    <n v="213849"/>
    <x v="58"/>
    <x v="3"/>
    <x v="3"/>
    <x v="5"/>
  </r>
  <r>
    <x v="5"/>
    <x v="3"/>
    <n v="207743"/>
    <x v="20"/>
    <x v="3"/>
    <x v="3"/>
    <x v="5"/>
  </r>
  <r>
    <x v="5"/>
    <x v="3"/>
    <n v="302737"/>
    <x v="52"/>
    <x v="3"/>
    <x v="3"/>
    <x v="5"/>
  </r>
  <r>
    <x v="5"/>
    <x v="4"/>
    <n v="161003"/>
    <x v="88"/>
    <x v="3"/>
    <x v="3"/>
    <x v="5"/>
  </r>
  <r>
    <x v="5"/>
    <x v="4"/>
    <n v="131643"/>
    <x v="0"/>
    <x v="3"/>
    <x v="3"/>
    <x v="5"/>
  </r>
  <r>
    <x v="5"/>
    <x v="3"/>
    <n v="507"/>
    <x v="9"/>
    <x v="3"/>
    <x v="3"/>
    <x v="5"/>
  </r>
  <r>
    <x v="6"/>
    <x v="4"/>
    <n v="204615"/>
    <x v="67"/>
    <x v="3"/>
    <x v="3"/>
    <x v="6"/>
  </r>
  <r>
    <x v="6"/>
    <x v="3"/>
    <n v="315199"/>
    <x v="15"/>
    <x v="3"/>
    <x v="3"/>
    <x v="6"/>
  </r>
  <r>
    <x v="6"/>
    <x v="3"/>
    <n v="218628"/>
    <x v="76"/>
    <x v="3"/>
    <x v="3"/>
    <x v="6"/>
  </r>
  <r>
    <x v="6"/>
    <x v="3"/>
    <n v="303219"/>
    <x v="40"/>
    <x v="3"/>
    <x v="3"/>
    <x v="6"/>
  </r>
  <r>
    <x v="6"/>
    <x v="3"/>
    <n v="214951"/>
    <x v="78"/>
    <x v="3"/>
    <x v="3"/>
    <x v="6"/>
  </r>
  <r>
    <x v="6"/>
    <x v="3"/>
    <n v="117819"/>
    <x v="83"/>
    <x v="3"/>
    <x v="3"/>
    <x v="6"/>
  </r>
  <r>
    <x v="6"/>
    <x v="2"/>
    <n v="300219"/>
    <x v="3"/>
    <x v="3"/>
    <x v="3"/>
    <x v="6"/>
  </r>
  <r>
    <x v="6"/>
    <x v="4"/>
    <n v="168458"/>
    <x v="75"/>
    <x v="3"/>
    <x v="3"/>
    <x v="6"/>
  </r>
  <r>
    <x v="6"/>
    <x v="3"/>
    <n v="207404"/>
    <x v="16"/>
    <x v="3"/>
    <x v="3"/>
    <x v="6"/>
  </r>
  <r>
    <x v="6"/>
    <x v="2"/>
    <n v="158751"/>
    <x v="54"/>
    <x v="3"/>
    <x v="3"/>
    <x v="6"/>
  </r>
  <r>
    <x v="6"/>
    <x v="3"/>
    <n v="206236"/>
    <x v="22"/>
    <x v="3"/>
    <x v="3"/>
    <x v="6"/>
  </r>
  <r>
    <x v="6"/>
    <x v="3"/>
    <n v="205104"/>
    <x v="51"/>
    <x v="3"/>
    <x v="3"/>
    <x v="6"/>
  </r>
  <r>
    <x v="6"/>
    <x v="3"/>
    <n v="120762"/>
    <x v="103"/>
    <x v="3"/>
    <x v="3"/>
    <x v="6"/>
  </r>
  <r>
    <x v="6"/>
    <x v="3"/>
    <n v="300987"/>
    <x v="59"/>
    <x v="3"/>
    <x v="3"/>
    <x v="6"/>
  </r>
  <r>
    <x v="6"/>
    <x v="3"/>
    <n v="218987"/>
    <x v="8"/>
    <x v="3"/>
    <x v="3"/>
    <x v="6"/>
  </r>
  <r>
    <x v="6"/>
    <x v="3"/>
    <n v="209209"/>
    <x v="32"/>
    <x v="3"/>
    <x v="3"/>
    <x v="6"/>
  </r>
  <r>
    <x v="6"/>
    <x v="3"/>
    <n v="149445"/>
    <x v="99"/>
    <x v="3"/>
    <x v="3"/>
    <x v="6"/>
  </r>
  <r>
    <x v="6"/>
    <x v="1"/>
    <n v="218644"/>
    <x v="63"/>
    <x v="3"/>
    <x v="3"/>
    <x v="6"/>
  </r>
  <r>
    <x v="6"/>
    <x v="3"/>
    <n v="211470"/>
    <x v="53"/>
    <x v="3"/>
    <x v="3"/>
    <x v="6"/>
  </r>
  <r>
    <x v="6"/>
    <x v="2"/>
    <n v="210557"/>
    <x v="47"/>
    <x v="3"/>
    <x v="3"/>
    <x v="6"/>
  </r>
  <r>
    <x v="6"/>
    <x v="3"/>
    <n v="117866"/>
    <x v="87"/>
    <x v="3"/>
    <x v="3"/>
    <x v="6"/>
  </r>
  <r>
    <x v="6"/>
    <x v="5"/>
    <n v="218674"/>
    <x v="57"/>
    <x v="3"/>
    <x v="3"/>
    <x v="6"/>
  </r>
  <r>
    <x v="6"/>
    <x v="4"/>
    <n v="302769"/>
    <x v="49"/>
    <x v="3"/>
    <x v="3"/>
    <x v="6"/>
  </r>
  <r>
    <x v="6"/>
    <x v="0"/>
    <n v="117442"/>
    <x v="68"/>
    <x v="3"/>
    <x v="3"/>
    <x v="6"/>
  </r>
  <r>
    <x v="6"/>
    <x v="3"/>
    <n v="205349"/>
    <x v="39"/>
    <x v="3"/>
    <x v="3"/>
    <x v="6"/>
  </r>
  <r>
    <x v="6"/>
    <x v="4"/>
    <n v="213849"/>
    <x v="58"/>
    <x v="3"/>
    <x v="3"/>
    <x v="6"/>
  </r>
  <r>
    <x v="6"/>
    <x v="3"/>
    <n v="207743"/>
    <x v="20"/>
    <x v="3"/>
    <x v="3"/>
    <x v="6"/>
  </r>
  <r>
    <x v="6"/>
    <x v="3"/>
    <n v="302737"/>
    <x v="52"/>
    <x v="3"/>
    <x v="3"/>
    <x v="6"/>
  </r>
  <r>
    <x v="6"/>
    <x v="4"/>
    <n v="161003"/>
    <x v="88"/>
    <x v="3"/>
    <x v="3"/>
    <x v="6"/>
  </r>
  <r>
    <x v="6"/>
    <x v="4"/>
    <n v="131643"/>
    <x v="0"/>
    <x v="3"/>
    <x v="3"/>
    <x v="6"/>
  </r>
  <r>
    <x v="6"/>
    <x v="3"/>
    <n v="507"/>
    <x v="9"/>
    <x v="3"/>
    <x v="3"/>
    <x v="6"/>
  </r>
  <r>
    <x v="7"/>
    <x v="4"/>
    <n v="204615"/>
    <x v="67"/>
    <x v="3"/>
    <x v="3"/>
    <x v="7"/>
  </r>
  <r>
    <x v="7"/>
    <x v="3"/>
    <n v="315199"/>
    <x v="15"/>
    <x v="3"/>
    <x v="3"/>
    <x v="7"/>
  </r>
  <r>
    <x v="7"/>
    <x v="3"/>
    <n v="218628"/>
    <x v="76"/>
    <x v="3"/>
    <x v="3"/>
    <x v="7"/>
  </r>
  <r>
    <x v="7"/>
    <x v="3"/>
    <n v="303219"/>
    <x v="40"/>
    <x v="3"/>
    <x v="3"/>
    <x v="7"/>
  </r>
  <r>
    <x v="7"/>
    <x v="3"/>
    <n v="214951"/>
    <x v="78"/>
    <x v="3"/>
    <x v="3"/>
    <x v="7"/>
  </r>
  <r>
    <x v="7"/>
    <x v="3"/>
    <n v="117819"/>
    <x v="83"/>
    <x v="3"/>
    <x v="3"/>
    <x v="7"/>
  </r>
  <r>
    <x v="7"/>
    <x v="2"/>
    <n v="300219"/>
    <x v="3"/>
    <x v="3"/>
    <x v="3"/>
    <x v="7"/>
  </r>
  <r>
    <x v="7"/>
    <x v="4"/>
    <n v="168458"/>
    <x v="75"/>
    <x v="3"/>
    <x v="3"/>
    <x v="7"/>
  </r>
  <r>
    <x v="7"/>
    <x v="3"/>
    <n v="207404"/>
    <x v="16"/>
    <x v="3"/>
    <x v="3"/>
    <x v="7"/>
  </r>
  <r>
    <x v="7"/>
    <x v="2"/>
    <n v="158751"/>
    <x v="54"/>
    <x v="3"/>
    <x v="3"/>
    <x v="7"/>
  </r>
  <r>
    <x v="7"/>
    <x v="3"/>
    <n v="206236"/>
    <x v="22"/>
    <x v="3"/>
    <x v="3"/>
    <x v="7"/>
  </r>
  <r>
    <x v="7"/>
    <x v="3"/>
    <n v="205104"/>
    <x v="51"/>
    <x v="3"/>
    <x v="3"/>
    <x v="7"/>
  </r>
  <r>
    <x v="7"/>
    <x v="3"/>
    <n v="120762"/>
    <x v="103"/>
    <x v="3"/>
    <x v="3"/>
    <x v="7"/>
  </r>
  <r>
    <x v="7"/>
    <x v="3"/>
    <n v="300987"/>
    <x v="59"/>
    <x v="3"/>
    <x v="3"/>
    <x v="7"/>
  </r>
  <r>
    <x v="7"/>
    <x v="3"/>
    <n v="218987"/>
    <x v="8"/>
    <x v="3"/>
    <x v="3"/>
    <x v="7"/>
  </r>
  <r>
    <x v="7"/>
    <x v="3"/>
    <n v="209209"/>
    <x v="32"/>
    <x v="3"/>
    <x v="3"/>
    <x v="7"/>
  </r>
  <r>
    <x v="7"/>
    <x v="3"/>
    <n v="149445"/>
    <x v="99"/>
    <x v="3"/>
    <x v="3"/>
    <x v="7"/>
  </r>
  <r>
    <x v="7"/>
    <x v="1"/>
    <n v="218644"/>
    <x v="63"/>
    <x v="3"/>
    <x v="3"/>
    <x v="7"/>
  </r>
  <r>
    <x v="7"/>
    <x v="3"/>
    <n v="211470"/>
    <x v="53"/>
    <x v="3"/>
    <x v="3"/>
    <x v="7"/>
  </r>
  <r>
    <x v="7"/>
    <x v="2"/>
    <n v="210557"/>
    <x v="47"/>
    <x v="3"/>
    <x v="3"/>
    <x v="7"/>
  </r>
  <r>
    <x v="7"/>
    <x v="3"/>
    <n v="117866"/>
    <x v="87"/>
    <x v="3"/>
    <x v="3"/>
    <x v="7"/>
  </r>
  <r>
    <x v="7"/>
    <x v="5"/>
    <n v="218674"/>
    <x v="57"/>
    <x v="3"/>
    <x v="3"/>
    <x v="7"/>
  </r>
  <r>
    <x v="7"/>
    <x v="4"/>
    <n v="302769"/>
    <x v="49"/>
    <x v="3"/>
    <x v="3"/>
    <x v="7"/>
  </r>
  <r>
    <x v="7"/>
    <x v="0"/>
    <n v="117442"/>
    <x v="68"/>
    <x v="3"/>
    <x v="3"/>
    <x v="7"/>
  </r>
  <r>
    <x v="7"/>
    <x v="3"/>
    <n v="205349"/>
    <x v="39"/>
    <x v="3"/>
    <x v="3"/>
    <x v="7"/>
  </r>
  <r>
    <x v="7"/>
    <x v="4"/>
    <n v="213849"/>
    <x v="58"/>
    <x v="3"/>
    <x v="3"/>
    <x v="7"/>
  </r>
  <r>
    <x v="7"/>
    <x v="3"/>
    <n v="207743"/>
    <x v="20"/>
    <x v="3"/>
    <x v="3"/>
    <x v="7"/>
  </r>
  <r>
    <x v="7"/>
    <x v="3"/>
    <n v="302737"/>
    <x v="52"/>
    <x v="3"/>
    <x v="3"/>
    <x v="7"/>
  </r>
  <r>
    <x v="7"/>
    <x v="4"/>
    <n v="161003"/>
    <x v="88"/>
    <x v="3"/>
    <x v="3"/>
    <x v="7"/>
  </r>
  <r>
    <x v="7"/>
    <x v="4"/>
    <n v="131643"/>
    <x v="0"/>
    <x v="3"/>
    <x v="3"/>
    <x v="7"/>
  </r>
  <r>
    <x v="7"/>
    <x v="3"/>
    <n v="507"/>
    <x v="9"/>
    <x v="3"/>
    <x v="3"/>
    <x v="7"/>
  </r>
  <r>
    <x v="8"/>
    <x v="4"/>
    <n v="204615"/>
    <x v="67"/>
    <x v="3"/>
    <x v="3"/>
    <x v="8"/>
  </r>
  <r>
    <x v="8"/>
    <x v="3"/>
    <n v="315199"/>
    <x v="15"/>
    <x v="3"/>
    <x v="3"/>
    <x v="8"/>
  </r>
  <r>
    <x v="8"/>
    <x v="3"/>
    <n v="218628"/>
    <x v="76"/>
    <x v="3"/>
    <x v="3"/>
    <x v="8"/>
  </r>
  <r>
    <x v="8"/>
    <x v="3"/>
    <n v="303219"/>
    <x v="40"/>
    <x v="3"/>
    <x v="3"/>
    <x v="8"/>
  </r>
  <r>
    <x v="8"/>
    <x v="3"/>
    <n v="214951"/>
    <x v="78"/>
    <x v="3"/>
    <x v="3"/>
    <x v="8"/>
  </r>
  <r>
    <x v="8"/>
    <x v="3"/>
    <n v="117819"/>
    <x v="83"/>
    <x v="3"/>
    <x v="3"/>
    <x v="8"/>
  </r>
  <r>
    <x v="8"/>
    <x v="2"/>
    <n v="300219"/>
    <x v="3"/>
    <x v="3"/>
    <x v="3"/>
    <x v="8"/>
  </r>
  <r>
    <x v="8"/>
    <x v="4"/>
    <n v="168458"/>
    <x v="75"/>
    <x v="3"/>
    <x v="3"/>
    <x v="8"/>
  </r>
  <r>
    <x v="8"/>
    <x v="3"/>
    <n v="207404"/>
    <x v="16"/>
    <x v="3"/>
    <x v="3"/>
    <x v="8"/>
  </r>
  <r>
    <x v="8"/>
    <x v="2"/>
    <n v="158751"/>
    <x v="54"/>
    <x v="3"/>
    <x v="3"/>
    <x v="8"/>
  </r>
  <r>
    <x v="8"/>
    <x v="3"/>
    <n v="206236"/>
    <x v="22"/>
    <x v="3"/>
    <x v="3"/>
    <x v="8"/>
  </r>
  <r>
    <x v="8"/>
    <x v="3"/>
    <n v="205104"/>
    <x v="51"/>
    <x v="3"/>
    <x v="3"/>
    <x v="8"/>
  </r>
  <r>
    <x v="8"/>
    <x v="3"/>
    <n v="120762"/>
    <x v="103"/>
    <x v="3"/>
    <x v="3"/>
    <x v="8"/>
  </r>
  <r>
    <x v="8"/>
    <x v="3"/>
    <n v="300987"/>
    <x v="59"/>
    <x v="3"/>
    <x v="3"/>
    <x v="8"/>
  </r>
  <r>
    <x v="8"/>
    <x v="3"/>
    <n v="218987"/>
    <x v="8"/>
    <x v="3"/>
    <x v="3"/>
    <x v="8"/>
  </r>
  <r>
    <x v="8"/>
    <x v="3"/>
    <n v="209209"/>
    <x v="32"/>
    <x v="3"/>
    <x v="3"/>
    <x v="8"/>
  </r>
  <r>
    <x v="8"/>
    <x v="3"/>
    <n v="149445"/>
    <x v="99"/>
    <x v="3"/>
    <x v="3"/>
    <x v="8"/>
  </r>
  <r>
    <x v="8"/>
    <x v="1"/>
    <n v="218644"/>
    <x v="63"/>
    <x v="3"/>
    <x v="3"/>
    <x v="8"/>
  </r>
  <r>
    <x v="8"/>
    <x v="3"/>
    <n v="211470"/>
    <x v="53"/>
    <x v="3"/>
    <x v="3"/>
    <x v="8"/>
  </r>
  <r>
    <x v="8"/>
    <x v="2"/>
    <n v="210557"/>
    <x v="47"/>
    <x v="3"/>
    <x v="3"/>
    <x v="8"/>
  </r>
  <r>
    <x v="8"/>
    <x v="3"/>
    <n v="117866"/>
    <x v="87"/>
    <x v="3"/>
    <x v="3"/>
    <x v="8"/>
  </r>
  <r>
    <x v="8"/>
    <x v="5"/>
    <n v="218674"/>
    <x v="57"/>
    <x v="3"/>
    <x v="3"/>
    <x v="8"/>
  </r>
  <r>
    <x v="8"/>
    <x v="4"/>
    <n v="302769"/>
    <x v="49"/>
    <x v="3"/>
    <x v="3"/>
    <x v="8"/>
  </r>
  <r>
    <x v="8"/>
    <x v="0"/>
    <n v="117442"/>
    <x v="68"/>
    <x v="3"/>
    <x v="3"/>
    <x v="8"/>
  </r>
  <r>
    <x v="8"/>
    <x v="3"/>
    <n v="205349"/>
    <x v="39"/>
    <x v="3"/>
    <x v="3"/>
    <x v="8"/>
  </r>
  <r>
    <x v="8"/>
    <x v="4"/>
    <n v="213849"/>
    <x v="58"/>
    <x v="3"/>
    <x v="3"/>
    <x v="8"/>
  </r>
  <r>
    <x v="8"/>
    <x v="3"/>
    <n v="207743"/>
    <x v="20"/>
    <x v="3"/>
    <x v="3"/>
    <x v="8"/>
  </r>
  <r>
    <x v="8"/>
    <x v="3"/>
    <n v="302737"/>
    <x v="52"/>
    <x v="3"/>
    <x v="3"/>
    <x v="8"/>
  </r>
  <r>
    <x v="8"/>
    <x v="4"/>
    <n v="161003"/>
    <x v="88"/>
    <x v="3"/>
    <x v="3"/>
    <x v="8"/>
  </r>
  <r>
    <x v="8"/>
    <x v="4"/>
    <n v="131643"/>
    <x v="0"/>
    <x v="3"/>
    <x v="3"/>
    <x v="8"/>
  </r>
  <r>
    <x v="8"/>
    <x v="3"/>
    <n v="507"/>
    <x v="9"/>
    <x v="3"/>
    <x v="3"/>
    <x v="8"/>
  </r>
  <r>
    <x v="9"/>
    <x v="4"/>
    <n v="204615"/>
    <x v="67"/>
    <x v="3"/>
    <x v="3"/>
    <x v="9"/>
  </r>
  <r>
    <x v="9"/>
    <x v="3"/>
    <n v="315199"/>
    <x v="15"/>
    <x v="3"/>
    <x v="3"/>
    <x v="9"/>
  </r>
  <r>
    <x v="9"/>
    <x v="3"/>
    <n v="218628"/>
    <x v="76"/>
    <x v="3"/>
    <x v="3"/>
    <x v="9"/>
  </r>
  <r>
    <x v="9"/>
    <x v="3"/>
    <n v="303219"/>
    <x v="40"/>
    <x v="3"/>
    <x v="3"/>
    <x v="9"/>
  </r>
  <r>
    <x v="9"/>
    <x v="3"/>
    <n v="214951"/>
    <x v="78"/>
    <x v="3"/>
    <x v="3"/>
    <x v="9"/>
  </r>
  <r>
    <x v="9"/>
    <x v="3"/>
    <n v="117819"/>
    <x v="83"/>
    <x v="3"/>
    <x v="3"/>
    <x v="9"/>
  </r>
  <r>
    <x v="9"/>
    <x v="2"/>
    <n v="300219"/>
    <x v="3"/>
    <x v="3"/>
    <x v="3"/>
    <x v="9"/>
  </r>
  <r>
    <x v="9"/>
    <x v="4"/>
    <n v="168458"/>
    <x v="75"/>
    <x v="3"/>
    <x v="3"/>
    <x v="9"/>
  </r>
  <r>
    <x v="9"/>
    <x v="3"/>
    <n v="207404"/>
    <x v="16"/>
    <x v="3"/>
    <x v="3"/>
    <x v="9"/>
  </r>
  <r>
    <x v="9"/>
    <x v="2"/>
    <n v="158751"/>
    <x v="54"/>
    <x v="3"/>
    <x v="3"/>
    <x v="9"/>
  </r>
  <r>
    <x v="9"/>
    <x v="3"/>
    <n v="206236"/>
    <x v="22"/>
    <x v="3"/>
    <x v="3"/>
    <x v="9"/>
  </r>
  <r>
    <x v="9"/>
    <x v="3"/>
    <n v="205104"/>
    <x v="51"/>
    <x v="3"/>
    <x v="3"/>
    <x v="9"/>
  </r>
  <r>
    <x v="9"/>
    <x v="3"/>
    <n v="120762"/>
    <x v="103"/>
    <x v="3"/>
    <x v="3"/>
    <x v="9"/>
  </r>
  <r>
    <x v="9"/>
    <x v="3"/>
    <n v="300987"/>
    <x v="59"/>
    <x v="3"/>
    <x v="3"/>
    <x v="9"/>
  </r>
  <r>
    <x v="9"/>
    <x v="3"/>
    <n v="218987"/>
    <x v="8"/>
    <x v="3"/>
    <x v="3"/>
    <x v="9"/>
  </r>
  <r>
    <x v="9"/>
    <x v="3"/>
    <n v="209209"/>
    <x v="32"/>
    <x v="3"/>
    <x v="3"/>
    <x v="9"/>
  </r>
  <r>
    <x v="9"/>
    <x v="3"/>
    <n v="149445"/>
    <x v="99"/>
    <x v="3"/>
    <x v="3"/>
    <x v="9"/>
  </r>
  <r>
    <x v="9"/>
    <x v="1"/>
    <n v="218644"/>
    <x v="63"/>
    <x v="3"/>
    <x v="3"/>
    <x v="9"/>
  </r>
  <r>
    <x v="9"/>
    <x v="3"/>
    <n v="211470"/>
    <x v="53"/>
    <x v="3"/>
    <x v="3"/>
    <x v="9"/>
  </r>
  <r>
    <x v="9"/>
    <x v="2"/>
    <n v="210557"/>
    <x v="47"/>
    <x v="3"/>
    <x v="3"/>
    <x v="9"/>
  </r>
  <r>
    <x v="9"/>
    <x v="3"/>
    <n v="117866"/>
    <x v="87"/>
    <x v="3"/>
    <x v="3"/>
    <x v="9"/>
  </r>
  <r>
    <x v="9"/>
    <x v="5"/>
    <n v="218674"/>
    <x v="57"/>
    <x v="3"/>
    <x v="3"/>
    <x v="9"/>
  </r>
  <r>
    <x v="9"/>
    <x v="4"/>
    <n v="302769"/>
    <x v="49"/>
    <x v="3"/>
    <x v="3"/>
    <x v="9"/>
  </r>
  <r>
    <x v="9"/>
    <x v="0"/>
    <n v="117442"/>
    <x v="68"/>
    <x v="3"/>
    <x v="3"/>
    <x v="9"/>
  </r>
  <r>
    <x v="9"/>
    <x v="3"/>
    <n v="205349"/>
    <x v="39"/>
    <x v="3"/>
    <x v="3"/>
    <x v="9"/>
  </r>
  <r>
    <x v="9"/>
    <x v="4"/>
    <n v="213849"/>
    <x v="58"/>
    <x v="3"/>
    <x v="3"/>
    <x v="9"/>
  </r>
  <r>
    <x v="9"/>
    <x v="3"/>
    <n v="207743"/>
    <x v="20"/>
    <x v="3"/>
    <x v="3"/>
    <x v="9"/>
  </r>
  <r>
    <x v="9"/>
    <x v="3"/>
    <n v="302737"/>
    <x v="52"/>
    <x v="3"/>
    <x v="3"/>
    <x v="9"/>
  </r>
  <r>
    <x v="9"/>
    <x v="4"/>
    <n v="161003"/>
    <x v="88"/>
    <x v="3"/>
    <x v="3"/>
    <x v="9"/>
  </r>
  <r>
    <x v="9"/>
    <x v="4"/>
    <n v="131643"/>
    <x v="0"/>
    <x v="3"/>
    <x v="3"/>
    <x v="9"/>
  </r>
  <r>
    <x v="9"/>
    <x v="3"/>
    <n v="507"/>
    <x v="9"/>
    <x v="3"/>
    <x v="3"/>
    <x v="9"/>
  </r>
  <r>
    <x v="10"/>
    <x v="4"/>
    <n v="204615"/>
    <x v="67"/>
    <x v="3"/>
    <x v="3"/>
    <x v="10"/>
  </r>
  <r>
    <x v="10"/>
    <x v="3"/>
    <n v="315199"/>
    <x v="15"/>
    <x v="3"/>
    <x v="3"/>
    <x v="10"/>
  </r>
  <r>
    <x v="10"/>
    <x v="3"/>
    <n v="218628"/>
    <x v="76"/>
    <x v="3"/>
    <x v="3"/>
    <x v="10"/>
  </r>
  <r>
    <x v="10"/>
    <x v="3"/>
    <n v="303219"/>
    <x v="40"/>
    <x v="3"/>
    <x v="3"/>
    <x v="10"/>
  </r>
  <r>
    <x v="10"/>
    <x v="3"/>
    <n v="214951"/>
    <x v="78"/>
    <x v="3"/>
    <x v="3"/>
    <x v="10"/>
  </r>
  <r>
    <x v="10"/>
    <x v="3"/>
    <n v="117819"/>
    <x v="83"/>
    <x v="3"/>
    <x v="3"/>
    <x v="10"/>
  </r>
  <r>
    <x v="10"/>
    <x v="2"/>
    <n v="300219"/>
    <x v="3"/>
    <x v="3"/>
    <x v="3"/>
    <x v="10"/>
  </r>
  <r>
    <x v="10"/>
    <x v="4"/>
    <n v="168458"/>
    <x v="75"/>
    <x v="3"/>
    <x v="3"/>
    <x v="10"/>
  </r>
  <r>
    <x v="10"/>
    <x v="3"/>
    <n v="207404"/>
    <x v="16"/>
    <x v="3"/>
    <x v="3"/>
    <x v="10"/>
  </r>
  <r>
    <x v="10"/>
    <x v="2"/>
    <n v="158751"/>
    <x v="54"/>
    <x v="3"/>
    <x v="3"/>
    <x v="10"/>
  </r>
  <r>
    <x v="10"/>
    <x v="3"/>
    <n v="206236"/>
    <x v="22"/>
    <x v="3"/>
    <x v="3"/>
    <x v="10"/>
  </r>
  <r>
    <x v="10"/>
    <x v="3"/>
    <n v="205104"/>
    <x v="51"/>
    <x v="3"/>
    <x v="3"/>
    <x v="10"/>
  </r>
  <r>
    <x v="10"/>
    <x v="3"/>
    <n v="120762"/>
    <x v="103"/>
    <x v="3"/>
    <x v="3"/>
    <x v="10"/>
  </r>
  <r>
    <x v="10"/>
    <x v="3"/>
    <n v="300987"/>
    <x v="59"/>
    <x v="3"/>
    <x v="3"/>
    <x v="10"/>
  </r>
  <r>
    <x v="10"/>
    <x v="3"/>
    <n v="218987"/>
    <x v="8"/>
    <x v="3"/>
    <x v="3"/>
    <x v="10"/>
  </r>
  <r>
    <x v="10"/>
    <x v="3"/>
    <n v="209209"/>
    <x v="32"/>
    <x v="3"/>
    <x v="3"/>
    <x v="10"/>
  </r>
  <r>
    <x v="10"/>
    <x v="3"/>
    <n v="149445"/>
    <x v="99"/>
    <x v="3"/>
    <x v="3"/>
    <x v="10"/>
  </r>
  <r>
    <x v="10"/>
    <x v="1"/>
    <n v="218644"/>
    <x v="63"/>
    <x v="3"/>
    <x v="3"/>
    <x v="10"/>
  </r>
  <r>
    <x v="10"/>
    <x v="3"/>
    <n v="211470"/>
    <x v="53"/>
    <x v="3"/>
    <x v="3"/>
    <x v="10"/>
  </r>
  <r>
    <x v="10"/>
    <x v="2"/>
    <n v="210557"/>
    <x v="47"/>
    <x v="3"/>
    <x v="3"/>
    <x v="10"/>
  </r>
  <r>
    <x v="10"/>
    <x v="3"/>
    <n v="117866"/>
    <x v="87"/>
    <x v="3"/>
    <x v="3"/>
    <x v="10"/>
  </r>
  <r>
    <x v="10"/>
    <x v="5"/>
    <n v="218674"/>
    <x v="57"/>
    <x v="3"/>
    <x v="3"/>
    <x v="10"/>
  </r>
  <r>
    <x v="10"/>
    <x v="4"/>
    <n v="302769"/>
    <x v="49"/>
    <x v="3"/>
    <x v="3"/>
    <x v="10"/>
  </r>
  <r>
    <x v="10"/>
    <x v="0"/>
    <n v="117442"/>
    <x v="68"/>
    <x v="3"/>
    <x v="3"/>
    <x v="10"/>
  </r>
  <r>
    <x v="10"/>
    <x v="3"/>
    <n v="205349"/>
    <x v="39"/>
    <x v="3"/>
    <x v="3"/>
    <x v="10"/>
  </r>
  <r>
    <x v="10"/>
    <x v="4"/>
    <n v="213849"/>
    <x v="58"/>
    <x v="3"/>
    <x v="3"/>
    <x v="10"/>
  </r>
  <r>
    <x v="10"/>
    <x v="3"/>
    <n v="207743"/>
    <x v="20"/>
    <x v="3"/>
    <x v="3"/>
    <x v="10"/>
  </r>
  <r>
    <x v="10"/>
    <x v="3"/>
    <n v="302737"/>
    <x v="52"/>
    <x v="3"/>
    <x v="3"/>
    <x v="10"/>
  </r>
  <r>
    <x v="10"/>
    <x v="4"/>
    <n v="161003"/>
    <x v="88"/>
    <x v="3"/>
    <x v="3"/>
    <x v="10"/>
  </r>
  <r>
    <x v="10"/>
    <x v="4"/>
    <n v="131643"/>
    <x v="0"/>
    <x v="3"/>
    <x v="3"/>
    <x v="10"/>
  </r>
  <r>
    <x v="10"/>
    <x v="3"/>
    <n v="507"/>
    <x v="9"/>
    <x v="3"/>
    <x v="3"/>
    <x v="10"/>
  </r>
  <r>
    <x v="0"/>
    <x v="0"/>
    <n v="218225"/>
    <x v="1"/>
    <x v="3"/>
    <x v="3"/>
    <x v="0"/>
  </r>
  <r>
    <x v="0"/>
    <x v="0"/>
    <n v="316879"/>
    <x v="2"/>
    <x v="3"/>
    <x v="3"/>
    <x v="0"/>
  </r>
  <r>
    <x v="0"/>
    <x v="0"/>
    <n v="206348"/>
    <x v="4"/>
    <x v="3"/>
    <x v="3"/>
    <x v="0"/>
  </r>
  <r>
    <x v="0"/>
    <x v="0"/>
    <n v="300169"/>
    <x v="5"/>
    <x v="3"/>
    <x v="3"/>
    <x v="0"/>
  </r>
  <r>
    <x v="0"/>
    <x v="0"/>
    <n v="316646"/>
    <x v="6"/>
    <x v="3"/>
    <x v="3"/>
    <x v="0"/>
  </r>
  <r>
    <x v="0"/>
    <x v="0"/>
    <n v="206708"/>
    <x v="7"/>
    <x v="3"/>
    <x v="3"/>
    <x v="0"/>
  </r>
  <r>
    <x v="0"/>
    <x v="0"/>
    <n v="317470"/>
    <x v="10"/>
    <x v="3"/>
    <x v="3"/>
    <x v="0"/>
  </r>
  <r>
    <x v="0"/>
    <x v="0"/>
    <n v="300363"/>
    <x v="11"/>
    <x v="3"/>
    <x v="3"/>
    <x v="0"/>
  </r>
  <r>
    <x v="0"/>
    <x v="0"/>
    <n v="206968"/>
    <x v="12"/>
    <x v="3"/>
    <x v="3"/>
    <x v="0"/>
  </r>
  <r>
    <x v="0"/>
    <x v="0"/>
    <n v="217081"/>
    <x v="13"/>
    <x v="3"/>
    <x v="3"/>
    <x v="0"/>
  </r>
  <r>
    <x v="0"/>
    <x v="0"/>
    <n v="206298"/>
    <x v="14"/>
    <x v="3"/>
    <x v="3"/>
    <x v="0"/>
  </r>
  <r>
    <x v="0"/>
    <x v="0"/>
    <n v="218916"/>
    <x v="17"/>
    <x v="3"/>
    <x v="3"/>
    <x v="0"/>
  </r>
  <r>
    <x v="0"/>
    <x v="0"/>
    <n v="300571"/>
    <x v="18"/>
    <x v="3"/>
    <x v="3"/>
    <x v="0"/>
  </r>
  <r>
    <x v="0"/>
    <x v="0"/>
    <n v="314137"/>
    <x v="19"/>
    <x v="3"/>
    <x v="3"/>
    <x v="0"/>
  </r>
  <r>
    <x v="0"/>
    <x v="0"/>
    <n v="312807"/>
    <x v="21"/>
    <x v="3"/>
    <x v="3"/>
    <x v="0"/>
  </r>
  <r>
    <x v="0"/>
    <x v="0"/>
    <n v="321932"/>
    <x v="23"/>
    <x v="3"/>
    <x v="3"/>
    <x v="0"/>
  </r>
  <r>
    <x v="0"/>
    <x v="0"/>
    <n v="312617"/>
    <x v="24"/>
    <x v="3"/>
    <x v="3"/>
    <x v="0"/>
  </r>
  <r>
    <x v="0"/>
    <x v="0"/>
    <n v="208277"/>
    <x v="25"/>
    <x v="3"/>
    <x v="3"/>
    <x v="0"/>
  </r>
  <r>
    <x v="0"/>
    <x v="0"/>
    <n v="686"/>
    <x v="26"/>
    <x v="3"/>
    <x v="3"/>
    <x v="0"/>
  </r>
  <r>
    <x v="0"/>
    <x v="0"/>
    <n v="205985"/>
    <x v="27"/>
    <x v="3"/>
    <x v="3"/>
    <x v="0"/>
  </r>
  <r>
    <x v="0"/>
    <x v="0"/>
    <n v="312259"/>
    <x v="28"/>
    <x v="3"/>
    <x v="3"/>
    <x v="0"/>
  </r>
  <r>
    <x v="0"/>
    <x v="0"/>
    <n v="218732"/>
    <x v="29"/>
    <x v="3"/>
    <x v="3"/>
    <x v="0"/>
  </r>
  <r>
    <x v="0"/>
    <x v="0"/>
    <n v="209208"/>
    <x v="30"/>
    <x v="3"/>
    <x v="3"/>
    <x v="0"/>
  </r>
  <r>
    <x v="0"/>
    <x v="0"/>
    <n v="323608"/>
    <x v="31"/>
    <x v="3"/>
    <x v="3"/>
    <x v="0"/>
  </r>
  <r>
    <x v="0"/>
    <x v="0"/>
    <n v="209211"/>
    <x v="33"/>
    <x v="3"/>
    <x v="3"/>
    <x v="0"/>
  </r>
  <r>
    <x v="0"/>
    <x v="0"/>
    <n v="311895"/>
    <x v="34"/>
    <x v="3"/>
    <x v="3"/>
    <x v="0"/>
  </r>
  <r>
    <x v="0"/>
    <x v="0"/>
    <n v="324108"/>
    <x v="35"/>
    <x v="3"/>
    <x v="3"/>
    <x v="0"/>
  </r>
  <r>
    <x v="0"/>
    <x v="0"/>
    <n v="210001"/>
    <x v="36"/>
    <x v="3"/>
    <x v="3"/>
    <x v="0"/>
  </r>
  <r>
    <x v="0"/>
    <x v="0"/>
    <n v="1733"/>
    <x v="37"/>
    <x v="3"/>
    <x v="3"/>
    <x v="0"/>
  </r>
  <r>
    <x v="0"/>
    <x v="0"/>
    <n v="303221"/>
    <x v="38"/>
    <x v="3"/>
    <x v="3"/>
    <x v="0"/>
  </r>
  <r>
    <x v="0"/>
    <x v="0"/>
    <n v="210127"/>
    <x v="41"/>
    <x v="3"/>
    <x v="3"/>
    <x v="0"/>
  </r>
  <r>
    <x v="0"/>
    <x v="0"/>
    <n v="303189"/>
    <x v="42"/>
    <x v="3"/>
    <x v="3"/>
    <x v="0"/>
  </r>
  <r>
    <x v="0"/>
    <x v="0"/>
    <n v="210515"/>
    <x v="43"/>
    <x v="3"/>
    <x v="3"/>
    <x v="0"/>
  </r>
  <r>
    <x v="0"/>
    <x v="0"/>
    <n v="205228"/>
    <x v="44"/>
    <x v="3"/>
    <x v="3"/>
    <x v="0"/>
  </r>
  <r>
    <x v="0"/>
    <x v="0"/>
    <n v="302988"/>
    <x v="45"/>
    <x v="3"/>
    <x v="3"/>
    <x v="0"/>
  </r>
  <r>
    <x v="0"/>
    <x v="0"/>
    <n v="302856"/>
    <x v="46"/>
    <x v="3"/>
    <x v="3"/>
    <x v="0"/>
  </r>
  <r>
    <x v="0"/>
    <x v="0"/>
    <n v="218698"/>
    <x v="48"/>
    <x v="3"/>
    <x v="3"/>
    <x v="0"/>
  </r>
  <r>
    <x v="0"/>
    <x v="0"/>
    <n v="211415"/>
    <x v="50"/>
    <x v="3"/>
    <x v="3"/>
    <x v="0"/>
  </r>
  <r>
    <x v="0"/>
    <x v="0"/>
    <n v="160030"/>
    <x v="55"/>
    <x v="3"/>
    <x v="3"/>
    <x v="0"/>
  </r>
  <r>
    <x v="0"/>
    <x v="0"/>
    <n v="204952"/>
    <x v="56"/>
    <x v="3"/>
    <x v="3"/>
    <x v="0"/>
  </r>
  <r>
    <x v="0"/>
    <x v="0"/>
    <n v="158311"/>
    <x v="60"/>
    <x v="3"/>
    <x v="3"/>
    <x v="0"/>
  </r>
  <r>
    <x v="0"/>
    <x v="0"/>
    <n v="204939"/>
    <x v="61"/>
    <x v="3"/>
    <x v="3"/>
    <x v="0"/>
  </r>
  <r>
    <x v="0"/>
    <x v="0"/>
    <n v="2737"/>
    <x v="62"/>
    <x v="3"/>
    <x v="3"/>
    <x v="0"/>
  </r>
  <r>
    <x v="0"/>
    <x v="0"/>
    <n v="301805"/>
    <x v="64"/>
    <x v="3"/>
    <x v="3"/>
    <x v="0"/>
  </r>
  <r>
    <x v="0"/>
    <x v="0"/>
    <n v="218623"/>
    <x v="65"/>
    <x v="3"/>
    <x v="3"/>
    <x v="0"/>
  </r>
  <r>
    <x v="0"/>
    <x v="0"/>
    <n v="300862"/>
    <x v="66"/>
    <x v="3"/>
    <x v="3"/>
    <x v="0"/>
  </r>
  <r>
    <x v="0"/>
    <x v="0"/>
    <n v="218210"/>
    <x v="69"/>
    <x v="3"/>
    <x v="3"/>
    <x v="0"/>
  </r>
  <r>
    <x v="0"/>
    <x v="0"/>
    <n v="302335"/>
    <x v="70"/>
    <x v="3"/>
    <x v="3"/>
    <x v="0"/>
  </r>
  <r>
    <x v="0"/>
    <x v="0"/>
    <n v="203631"/>
    <x v="71"/>
    <x v="3"/>
    <x v="3"/>
    <x v="0"/>
  </r>
  <r>
    <x v="0"/>
    <x v="0"/>
    <n v="215020"/>
    <x v="72"/>
    <x v="3"/>
    <x v="3"/>
    <x v="0"/>
  </r>
  <r>
    <x v="0"/>
    <x v="0"/>
    <n v="117230"/>
    <x v="73"/>
    <x v="3"/>
    <x v="3"/>
    <x v="0"/>
  </r>
  <r>
    <x v="0"/>
    <x v="0"/>
    <n v="300711"/>
    <x v="74"/>
    <x v="3"/>
    <x v="3"/>
    <x v="0"/>
  </r>
  <r>
    <x v="0"/>
    <x v="0"/>
    <n v="161520"/>
    <x v="77"/>
    <x v="3"/>
    <x v="3"/>
    <x v="0"/>
  </r>
  <r>
    <x v="0"/>
    <x v="0"/>
    <n v="169872"/>
    <x v="79"/>
    <x v="3"/>
    <x v="3"/>
    <x v="0"/>
  </r>
  <r>
    <x v="0"/>
    <x v="0"/>
    <n v="117456"/>
    <x v="80"/>
    <x v="3"/>
    <x v="3"/>
    <x v="0"/>
  </r>
  <r>
    <x v="0"/>
    <x v="0"/>
    <n v="169537"/>
    <x v="81"/>
    <x v="3"/>
    <x v="3"/>
    <x v="0"/>
  </r>
  <r>
    <x v="0"/>
    <x v="0"/>
    <n v="211622"/>
    <x v="82"/>
    <x v="3"/>
    <x v="3"/>
    <x v="0"/>
  </r>
  <r>
    <x v="0"/>
    <x v="0"/>
    <n v="117501"/>
    <x v="84"/>
    <x v="3"/>
    <x v="3"/>
    <x v="0"/>
  </r>
  <r>
    <x v="0"/>
    <x v="0"/>
    <n v="301983"/>
    <x v="85"/>
    <x v="3"/>
    <x v="3"/>
    <x v="0"/>
  </r>
  <r>
    <x v="0"/>
    <x v="0"/>
    <n v="218616"/>
    <x v="86"/>
    <x v="3"/>
    <x v="3"/>
    <x v="0"/>
  </r>
  <r>
    <x v="0"/>
    <x v="0"/>
    <n v="301760"/>
    <x v="89"/>
    <x v="3"/>
    <x v="3"/>
    <x v="0"/>
  </r>
  <r>
    <x v="0"/>
    <x v="0"/>
    <n v="118535"/>
    <x v="90"/>
    <x v="3"/>
    <x v="3"/>
    <x v="0"/>
  </r>
  <r>
    <x v="0"/>
    <x v="0"/>
    <n v="301920"/>
    <x v="91"/>
    <x v="3"/>
    <x v="3"/>
    <x v="0"/>
  </r>
  <r>
    <x v="0"/>
    <x v="0"/>
    <n v="117986"/>
    <x v="92"/>
    <x v="3"/>
    <x v="3"/>
    <x v="0"/>
  </r>
  <r>
    <x v="0"/>
    <x v="0"/>
    <n v="144154"/>
    <x v="93"/>
    <x v="3"/>
    <x v="3"/>
    <x v="0"/>
  </r>
  <r>
    <x v="0"/>
    <x v="0"/>
    <n v="216476"/>
    <x v="94"/>
    <x v="3"/>
    <x v="3"/>
    <x v="0"/>
  </r>
  <r>
    <x v="0"/>
    <x v="0"/>
    <n v="301809"/>
    <x v="95"/>
    <x v="3"/>
    <x v="3"/>
    <x v="0"/>
  </r>
  <r>
    <x v="0"/>
    <x v="0"/>
    <n v="216566"/>
    <x v="96"/>
    <x v="3"/>
    <x v="3"/>
    <x v="0"/>
  </r>
  <r>
    <x v="0"/>
    <x v="0"/>
    <n v="130744"/>
    <x v="97"/>
    <x v="3"/>
    <x v="3"/>
    <x v="0"/>
  </r>
  <r>
    <x v="0"/>
    <x v="0"/>
    <n v="301229"/>
    <x v="98"/>
    <x v="3"/>
    <x v="3"/>
    <x v="0"/>
  </r>
  <r>
    <x v="0"/>
    <x v="0"/>
    <n v="140302"/>
    <x v="100"/>
    <x v="3"/>
    <x v="3"/>
    <x v="0"/>
  </r>
  <r>
    <x v="0"/>
    <x v="0"/>
    <n v="218402"/>
    <x v="101"/>
    <x v="3"/>
    <x v="3"/>
    <x v="0"/>
  </r>
  <r>
    <x v="0"/>
    <x v="0"/>
    <n v="144649"/>
    <x v="102"/>
    <x v="3"/>
    <x v="3"/>
    <x v="0"/>
  </r>
  <r>
    <x v="0"/>
    <x v="0"/>
    <n v="217678"/>
    <x v="104"/>
    <x v="3"/>
    <x v="3"/>
    <x v="0"/>
  </r>
  <r>
    <x v="1"/>
    <x v="0"/>
    <n v="218616"/>
    <x v="86"/>
    <x v="3"/>
    <x v="3"/>
    <x v="1"/>
  </r>
  <r>
    <x v="1"/>
    <x v="0"/>
    <n v="323608"/>
    <x v="31"/>
    <x v="3"/>
    <x v="3"/>
    <x v="1"/>
  </r>
  <r>
    <x v="1"/>
    <x v="0"/>
    <n v="218210"/>
    <x v="69"/>
    <x v="3"/>
    <x v="3"/>
    <x v="1"/>
  </r>
  <r>
    <x v="1"/>
    <x v="0"/>
    <n v="140302"/>
    <x v="100"/>
    <x v="3"/>
    <x v="3"/>
    <x v="1"/>
  </r>
  <r>
    <x v="1"/>
    <x v="0"/>
    <n v="217678"/>
    <x v="104"/>
    <x v="3"/>
    <x v="3"/>
    <x v="1"/>
  </r>
  <r>
    <x v="1"/>
    <x v="0"/>
    <n v="130744"/>
    <x v="97"/>
    <x v="3"/>
    <x v="3"/>
    <x v="1"/>
  </r>
  <r>
    <x v="1"/>
    <x v="0"/>
    <n v="301760"/>
    <x v="89"/>
    <x v="3"/>
    <x v="3"/>
    <x v="1"/>
  </r>
  <r>
    <x v="1"/>
    <x v="0"/>
    <n v="169537"/>
    <x v="81"/>
    <x v="3"/>
    <x v="3"/>
    <x v="1"/>
  </r>
  <r>
    <x v="1"/>
    <x v="0"/>
    <n v="301805"/>
    <x v="64"/>
    <x v="3"/>
    <x v="3"/>
    <x v="1"/>
  </r>
  <r>
    <x v="1"/>
    <x v="0"/>
    <n v="218225"/>
    <x v="1"/>
    <x v="3"/>
    <x v="3"/>
    <x v="1"/>
  </r>
  <r>
    <x v="1"/>
    <x v="0"/>
    <n v="216476"/>
    <x v="94"/>
    <x v="3"/>
    <x v="3"/>
    <x v="1"/>
  </r>
  <r>
    <x v="1"/>
    <x v="0"/>
    <n v="144154"/>
    <x v="93"/>
    <x v="3"/>
    <x v="3"/>
    <x v="1"/>
  </r>
  <r>
    <x v="1"/>
    <x v="0"/>
    <n v="144649"/>
    <x v="102"/>
    <x v="3"/>
    <x v="3"/>
    <x v="1"/>
  </r>
  <r>
    <x v="1"/>
    <x v="0"/>
    <n v="301809"/>
    <x v="95"/>
    <x v="3"/>
    <x v="3"/>
    <x v="1"/>
  </r>
  <r>
    <x v="1"/>
    <x v="0"/>
    <n v="314137"/>
    <x v="19"/>
    <x v="3"/>
    <x v="3"/>
    <x v="1"/>
  </r>
  <r>
    <x v="1"/>
    <x v="0"/>
    <n v="217081"/>
    <x v="13"/>
    <x v="3"/>
    <x v="3"/>
    <x v="1"/>
  </r>
  <r>
    <x v="1"/>
    <x v="0"/>
    <n v="218916"/>
    <x v="17"/>
    <x v="3"/>
    <x v="3"/>
    <x v="1"/>
  </r>
  <r>
    <x v="1"/>
    <x v="0"/>
    <n v="204952"/>
    <x v="56"/>
    <x v="3"/>
    <x v="3"/>
    <x v="1"/>
  </r>
  <r>
    <x v="1"/>
    <x v="0"/>
    <n v="218402"/>
    <x v="101"/>
    <x v="3"/>
    <x v="3"/>
    <x v="1"/>
  </r>
  <r>
    <x v="1"/>
    <x v="0"/>
    <n v="118535"/>
    <x v="90"/>
    <x v="3"/>
    <x v="3"/>
    <x v="1"/>
  </r>
  <r>
    <x v="1"/>
    <x v="0"/>
    <n v="117230"/>
    <x v="73"/>
    <x v="3"/>
    <x v="3"/>
    <x v="1"/>
  </r>
  <r>
    <x v="1"/>
    <x v="0"/>
    <n v="301920"/>
    <x v="91"/>
    <x v="3"/>
    <x v="3"/>
    <x v="1"/>
  </r>
  <r>
    <x v="1"/>
    <x v="0"/>
    <n v="312259"/>
    <x v="28"/>
    <x v="3"/>
    <x v="3"/>
    <x v="1"/>
  </r>
  <r>
    <x v="1"/>
    <x v="0"/>
    <n v="210127"/>
    <x v="41"/>
    <x v="3"/>
    <x v="3"/>
    <x v="1"/>
  </r>
  <r>
    <x v="1"/>
    <x v="0"/>
    <n v="301229"/>
    <x v="98"/>
    <x v="3"/>
    <x v="3"/>
    <x v="1"/>
  </r>
  <r>
    <x v="1"/>
    <x v="0"/>
    <n v="117986"/>
    <x v="92"/>
    <x v="3"/>
    <x v="3"/>
    <x v="1"/>
  </r>
  <r>
    <x v="1"/>
    <x v="0"/>
    <n v="206968"/>
    <x v="12"/>
    <x v="3"/>
    <x v="3"/>
    <x v="1"/>
  </r>
  <r>
    <x v="1"/>
    <x v="0"/>
    <n v="158311"/>
    <x v="60"/>
    <x v="3"/>
    <x v="3"/>
    <x v="1"/>
  </r>
  <r>
    <x v="1"/>
    <x v="0"/>
    <n v="216566"/>
    <x v="96"/>
    <x v="3"/>
    <x v="3"/>
    <x v="1"/>
  </r>
  <r>
    <x v="1"/>
    <x v="0"/>
    <n v="218732"/>
    <x v="29"/>
    <x v="3"/>
    <x v="3"/>
    <x v="1"/>
  </r>
  <r>
    <x v="1"/>
    <x v="0"/>
    <n v="321932"/>
    <x v="23"/>
    <x v="3"/>
    <x v="3"/>
    <x v="1"/>
  </r>
  <r>
    <x v="1"/>
    <x v="0"/>
    <n v="203631"/>
    <x v="71"/>
    <x v="3"/>
    <x v="3"/>
    <x v="1"/>
  </r>
  <r>
    <x v="1"/>
    <x v="0"/>
    <n v="210515"/>
    <x v="43"/>
    <x v="3"/>
    <x v="3"/>
    <x v="1"/>
  </r>
  <r>
    <x v="1"/>
    <x v="0"/>
    <n v="160030"/>
    <x v="55"/>
    <x v="3"/>
    <x v="3"/>
    <x v="1"/>
  </r>
  <r>
    <x v="1"/>
    <x v="0"/>
    <n v="205228"/>
    <x v="44"/>
    <x v="3"/>
    <x v="3"/>
    <x v="1"/>
  </r>
  <r>
    <x v="1"/>
    <x v="0"/>
    <n v="206298"/>
    <x v="14"/>
    <x v="3"/>
    <x v="3"/>
    <x v="1"/>
  </r>
  <r>
    <x v="1"/>
    <x v="0"/>
    <n v="301983"/>
    <x v="85"/>
    <x v="3"/>
    <x v="3"/>
    <x v="1"/>
  </r>
  <r>
    <x v="1"/>
    <x v="0"/>
    <n v="218623"/>
    <x v="65"/>
    <x v="3"/>
    <x v="3"/>
    <x v="1"/>
  </r>
  <r>
    <x v="1"/>
    <x v="0"/>
    <n v="215020"/>
    <x v="72"/>
    <x v="3"/>
    <x v="3"/>
    <x v="1"/>
  </r>
  <r>
    <x v="1"/>
    <x v="0"/>
    <n v="211415"/>
    <x v="50"/>
    <x v="3"/>
    <x v="3"/>
    <x v="1"/>
  </r>
  <r>
    <x v="1"/>
    <x v="0"/>
    <n v="206348"/>
    <x v="4"/>
    <x v="3"/>
    <x v="3"/>
    <x v="1"/>
  </r>
  <r>
    <x v="1"/>
    <x v="0"/>
    <n v="300862"/>
    <x v="66"/>
    <x v="3"/>
    <x v="3"/>
    <x v="1"/>
  </r>
  <r>
    <x v="1"/>
    <x v="0"/>
    <n v="161520"/>
    <x v="77"/>
    <x v="3"/>
    <x v="3"/>
    <x v="1"/>
  </r>
  <r>
    <x v="1"/>
    <x v="0"/>
    <n v="117501"/>
    <x v="84"/>
    <x v="3"/>
    <x v="3"/>
    <x v="1"/>
  </r>
  <r>
    <x v="1"/>
    <x v="0"/>
    <n v="300571"/>
    <x v="18"/>
    <x v="3"/>
    <x v="3"/>
    <x v="1"/>
  </r>
  <r>
    <x v="1"/>
    <x v="0"/>
    <n v="206708"/>
    <x v="7"/>
    <x v="3"/>
    <x v="3"/>
    <x v="1"/>
  </r>
  <r>
    <x v="1"/>
    <x v="0"/>
    <n v="117456"/>
    <x v="80"/>
    <x v="3"/>
    <x v="3"/>
    <x v="1"/>
  </r>
  <r>
    <x v="1"/>
    <x v="0"/>
    <n v="302335"/>
    <x v="70"/>
    <x v="3"/>
    <x v="3"/>
    <x v="1"/>
  </r>
  <r>
    <x v="1"/>
    <x v="0"/>
    <n v="300711"/>
    <x v="74"/>
    <x v="3"/>
    <x v="3"/>
    <x v="1"/>
  </r>
  <r>
    <x v="1"/>
    <x v="0"/>
    <n v="300169"/>
    <x v="5"/>
    <x v="3"/>
    <x v="3"/>
    <x v="1"/>
  </r>
  <r>
    <x v="1"/>
    <x v="0"/>
    <n v="316646"/>
    <x v="6"/>
    <x v="3"/>
    <x v="3"/>
    <x v="1"/>
  </r>
  <r>
    <x v="1"/>
    <x v="0"/>
    <n v="169872"/>
    <x v="79"/>
    <x v="3"/>
    <x v="3"/>
    <x v="1"/>
  </r>
  <r>
    <x v="1"/>
    <x v="0"/>
    <n v="211622"/>
    <x v="82"/>
    <x v="3"/>
    <x v="3"/>
    <x v="1"/>
  </r>
  <r>
    <x v="1"/>
    <x v="0"/>
    <n v="311895"/>
    <x v="34"/>
    <x v="3"/>
    <x v="3"/>
    <x v="1"/>
  </r>
  <r>
    <x v="1"/>
    <x v="0"/>
    <n v="208277"/>
    <x v="25"/>
    <x v="3"/>
    <x v="3"/>
    <x v="1"/>
  </r>
  <r>
    <x v="1"/>
    <x v="0"/>
    <n v="209208"/>
    <x v="30"/>
    <x v="3"/>
    <x v="3"/>
    <x v="1"/>
  </r>
  <r>
    <x v="1"/>
    <x v="0"/>
    <n v="302856"/>
    <x v="46"/>
    <x v="3"/>
    <x v="3"/>
    <x v="1"/>
  </r>
  <r>
    <x v="1"/>
    <x v="0"/>
    <n v="2737"/>
    <x v="62"/>
    <x v="3"/>
    <x v="3"/>
    <x v="1"/>
  </r>
  <r>
    <x v="1"/>
    <x v="0"/>
    <n v="686"/>
    <x v="26"/>
    <x v="3"/>
    <x v="3"/>
    <x v="1"/>
  </r>
  <r>
    <x v="1"/>
    <x v="0"/>
    <n v="316879"/>
    <x v="2"/>
    <x v="3"/>
    <x v="3"/>
    <x v="1"/>
  </r>
  <r>
    <x v="1"/>
    <x v="0"/>
    <n v="302988"/>
    <x v="45"/>
    <x v="3"/>
    <x v="3"/>
    <x v="1"/>
  </r>
  <r>
    <x v="1"/>
    <x v="0"/>
    <n v="209211"/>
    <x v="33"/>
    <x v="3"/>
    <x v="3"/>
    <x v="1"/>
  </r>
  <r>
    <x v="1"/>
    <x v="0"/>
    <n v="312617"/>
    <x v="24"/>
    <x v="3"/>
    <x v="3"/>
    <x v="1"/>
  </r>
  <r>
    <x v="1"/>
    <x v="0"/>
    <n v="204939"/>
    <x v="61"/>
    <x v="3"/>
    <x v="3"/>
    <x v="1"/>
  </r>
  <r>
    <x v="1"/>
    <x v="0"/>
    <n v="1733"/>
    <x v="37"/>
    <x v="3"/>
    <x v="3"/>
    <x v="1"/>
  </r>
  <r>
    <x v="1"/>
    <x v="0"/>
    <n v="303221"/>
    <x v="38"/>
    <x v="3"/>
    <x v="3"/>
    <x v="1"/>
  </r>
  <r>
    <x v="1"/>
    <x v="0"/>
    <n v="312807"/>
    <x v="21"/>
    <x v="3"/>
    <x v="3"/>
    <x v="1"/>
  </r>
  <r>
    <x v="1"/>
    <x v="0"/>
    <n v="210001"/>
    <x v="36"/>
    <x v="3"/>
    <x v="3"/>
    <x v="1"/>
  </r>
  <r>
    <x v="1"/>
    <x v="0"/>
    <n v="300363"/>
    <x v="11"/>
    <x v="3"/>
    <x v="3"/>
    <x v="1"/>
  </r>
  <r>
    <x v="1"/>
    <x v="0"/>
    <n v="324108"/>
    <x v="35"/>
    <x v="3"/>
    <x v="3"/>
    <x v="1"/>
  </r>
  <r>
    <x v="1"/>
    <x v="0"/>
    <n v="303189"/>
    <x v="42"/>
    <x v="3"/>
    <x v="3"/>
    <x v="1"/>
  </r>
  <r>
    <x v="1"/>
    <x v="0"/>
    <n v="317470"/>
    <x v="10"/>
    <x v="3"/>
    <x v="3"/>
    <x v="1"/>
  </r>
  <r>
    <x v="1"/>
    <x v="0"/>
    <n v="218698"/>
    <x v="48"/>
    <x v="3"/>
    <x v="3"/>
    <x v="1"/>
  </r>
  <r>
    <x v="1"/>
    <x v="0"/>
    <n v="205985"/>
    <x v="27"/>
    <x v="3"/>
    <x v="3"/>
    <x v="1"/>
  </r>
  <r>
    <x v="2"/>
    <x v="0"/>
    <n v="316879"/>
    <x v="2"/>
    <x v="3"/>
    <x v="3"/>
    <x v="2"/>
  </r>
  <r>
    <x v="2"/>
    <x v="0"/>
    <n v="301760"/>
    <x v="89"/>
    <x v="3"/>
    <x v="3"/>
    <x v="2"/>
  </r>
  <r>
    <x v="2"/>
    <x v="0"/>
    <n v="118535"/>
    <x v="90"/>
    <x v="3"/>
    <x v="3"/>
    <x v="2"/>
  </r>
  <r>
    <x v="2"/>
    <x v="0"/>
    <n v="300711"/>
    <x v="74"/>
    <x v="3"/>
    <x v="3"/>
    <x v="2"/>
  </r>
  <r>
    <x v="2"/>
    <x v="0"/>
    <n v="206348"/>
    <x v="4"/>
    <x v="3"/>
    <x v="3"/>
    <x v="2"/>
  </r>
  <r>
    <x v="2"/>
    <x v="0"/>
    <n v="300169"/>
    <x v="5"/>
    <x v="3"/>
    <x v="3"/>
    <x v="2"/>
  </r>
  <r>
    <x v="2"/>
    <x v="0"/>
    <n v="303221"/>
    <x v="38"/>
    <x v="3"/>
    <x v="3"/>
    <x v="2"/>
  </r>
  <r>
    <x v="2"/>
    <x v="0"/>
    <n v="312807"/>
    <x v="21"/>
    <x v="3"/>
    <x v="3"/>
    <x v="2"/>
  </r>
  <r>
    <x v="2"/>
    <x v="0"/>
    <n v="218225"/>
    <x v="1"/>
    <x v="3"/>
    <x v="3"/>
    <x v="2"/>
  </r>
  <r>
    <x v="2"/>
    <x v="0"/>
    <n v="316646"/>
    <x v="6"/>
    <x v="3"/>
    <x v="3"/>
    <x v="2"/>
  </r>
  <r>
    <x v="2"/>
    <x v="0"/>
    <n v="312617"/>
    <x v="24"/>
    <x v="3"/>
    <x v="3"/>
    <x v="2"/>
  </r>
  <r>
    <x v="2"/>
    <x v="0"/>
    <n v="317470"/>
    <x v="10"/>
    <x v="3"/>
    <x v="3"/>
    <x v="2"/>
  </r>
  <r>
    <x v="2"/>
    <x v="0"/>
    <n v="206708"/>
    <x v="7"/>
    <x v="3"/>
    <x v="3"/>
    <x v="2"/>
  </r>
  <r>
    <x v="2"/>
    <x v="0"/>
    <n v="300571"/>
    <x v="18"/>
    <x v="3"/>
    <x v="3"/>
    <x v="2"/>
  </r>
  <r>
    <x v="2"/>
    <x v="0"/>
    <n v="210001"/>
    <x v="36"/>
    <x v="3"/>
    <x v="3"/>
    <x v="2"/>
  </r>
  <r>
    <x v="2"/>
    <x v="0"/>
    <n v="301920"/>
    <x v="91"/>
    <x v="3"/>
    <x v="3"/>
    <x v="2"/>
  </r>
  <r>
    <x v="2"/>
    <x v="0"/>
    <n v="209211"/>
    <x v="33"/>
    <x v="3"/>
    <x v="3"/>
    <x v="2"/>
  </r>
  <r>
    <x v="2"/>
    <x v="0"/>
    <n v="323608"/>
    <x v="31"/>
    <x v="3"/>
    <x v="3"/>
    <x v="2"/>
  </r>
  <r>
    <x v="2"/>
    <x v="0"/>
    <n v="300363"/>
    <x v="11"/>
    <x v="3"/>
    <x v="3"/>
    <x v="2"/>
  </r>
  <r>
    <x v="2"/>
    <x v="0"/>
    <n v="144154"/>
    <x v="93"/>
    <x v="3"/>
    <x v="3"/>
    <x v="2"/>
  </r>
  <r>
    <x v="2"/>
    <x v="0"/>
    <n v="218616"/>
    <x v="86"/>
    <x v="3"/>
    <x v="3"/>
    <x v="2"/>
  </r>
  <r>
    <x v="2"/>
    <x v="0"/>
    <n v="218210"/>
    <x v="69"/>
    <x v="3"/>
    <x v="3"/>
    <x v="2"/>
  </r>
  <r>
    <x v="2"/>
    <x v="0"/>
    <n v="206968"/>
    <x v="12"/>
    <x v="3"/>
    <x v="3"/>
    <x v="2"/>
  </r>
  <r>
    <x v="2"/>
    <x v="0"/>
    <n v="206298"/>
    <x v="14"/>
    <x v="3"/>
    <x v="3"/>
    <x v="2"/>
  </r>
  <r>
    <x v="2"/>
    <x v="0"/>
    <n v="301809"/>
    <x v="95"/>
    <x v="3"/>
    <x v="3"/>
    <x v="2"/>
  </r>
  <r>
    <x v="2"/>
    <x v="0"/>
    <n v="303189"/>
    <x v="42"/>
    <x v="3"/>
    <x v="3"/>
    <x v="2"/>
  </r>
  <r>
    <x v="2"/>
    <x v="0"/>
    <n v="130744"/>
    <x v="97"/>
    <x v="3"/>
    <x v="3"/>
    <x v="2"/>
  </r>
  <r>
    <x v="2"/>
    <x v="0"/>
    <n v="204939"/>
    <x v="61"/>
    <x v="3"/>
    <x v="3"/>
    <x v="2"/>
  </r>
  <r>
    <x v="2"/>
    <x v="0"/>
    <n v="314137"/>
    <x v="19"/>
    <x v="3"/>
    <x v="3"/>
    <x v="2"/>
  </r>
  <r>
    <x v="2"/>
    <x v="0"/>
    <n v="216566"/>
    <x v="96"/>
    <x v="3"/>
    <x v="3"/>
    <x v="2"/>
  </r>
  <r>
    <x v="2"/>
    <x v="0"/>
    <n v="2737"/>
    <x v="62"/>
    <x v="3"/>
    <x v="3"/>
    <x v="2"/>
  </r>
  <r>
    <x v="2"/>
    <x v="0"/>
    <n v="117501"/>
    <x v="84"/>
    <x v="3"/>
    <x v="3"/>
    <x v="2"/>
  </r>
  <r>
    <x v="2"/>
    <x v="0"/>
    <n v="302335"/>
    <x v="70"/>
    <x v="3"/>
    <x v="3"/>
    <x v="2"/>
  </r>
  <r>
    <x v="2"/>
    <x v="0"/>
    <n v="686"/>
    <x v="26"/>
    <x v="3"/>
    <x v="3"/>
    <x v="2"/>
  </r>
  <r>
    <x v="2"/>
    <x v="0"/>
    <n v="301229"/>
    <x v="98"/>
    <x v="3"/>
    <x v="3"/>
    <x v="2"/>
  </r>
  <r>
    <x v="2"/>
    <x v="0"/>
    <n v="218698"/>
    <x v="48"/>
    <x v="3"/>
    <x v="3"/>
    <x v="2"/>
  </r>
  <r>
    <x v="2"/>
    <x v="0"/>
    <n v="302856"/>
    <x v="46"/>
    <x v="3"/>
    <x v="3"/>
    <x v="2"/>
  </r>
  <r>
    <x v="2"/>
    <x v="0"/>
    <n v="140302"/>
    <x v="100"/>
    <x v="3"/>
    <x v="3"/>
    <x v="2"/>
  </r>
  <r>
    <x v="2"/>
    <x v="0"/>
    <n v="218402"/>
    <x v="101"/>
    <x v="3"/>
    <x v="3"/>
    <x v="2"/>
  </r>
  <r>
    <x v="2"/>
    <x v="0"/>
    <n v="321932"/>
    <x v="23"/>
    <x v="3"/>
    <x v="3"/>
    <x v="2"/>
  </r>
  <r>
    <x v="2"/>
    <x v="0"/>
    <n v="300862"/>
    <x v="66"/>
    <x v="3"/>
    <x v="3"/>
    <x v="2"/>
  </r>
  <r>
    <x v="2"/>
    <x v="0"/>
    <n v="208277"/>
    <x v="25"/>
    <x v="3"/>
    <x v="3"/>
    <x v="2"/>
  </r>
  <r>
    <x v="2"/>
    <x v="0"/>
    <n v="301983"/>
    <x v="85"/>
    <x v="3"/>
    <x v="3"/>
    <x v="2"/>
  </r>
  <r>
    <x v="2"/>
    <x v="0"/>
    <n v="302988"/>
    <x v="45"/>
    <x v="3"/>
    <x v="3"/>
    <x v="2"/>
  </r>
  <r>
    <x v="2"/>
    <x v="0"/>
    <n v="218916"/>
    <x v="17"/>
    <x v="3"/>
    <x v="3"/>
    <x v="2"/>
  </r>
  <r>
    <x v="2"/>
    <x v="0"/>
    <n v="209208"/>
    <x v="30"/>
    <x v="3"/>
    <x v="3"/>
    <x v="2"/>
  </r>
  <r>
    <x v="2"/>
    <x v="0"/>
    <n v="205985"/>
    <x v="27"/>
    <x v="3"/>
    <x v="3"/>
    <x v="2"/>
  </r>
  <r>
    <x v="2"/>
    <x v="0"/>
    <n v="169537"/>
    <x v="81"/>
    <x v="3"/>
    <x v="3"/>
    <x v="2"/>
  </r>
  <r>
    <x v="2"/>
    <x v="0"/>
    <n v="216476"/>
    <x v="94"/>
    <x v="3"/>
    <x v="3"/>
    <x v="2"/>
  </r>
  <r>
    <x v="2"/>
    <x v="0"/>
    <n v="218732"/>
    <x v="29"/>
    <x v="3"/>
    <x v="3"/>
    <x v="2"/>
  </r>
  <r>
    <x v="2"/>
    <x v="0"/>
    <n v="312259"/>
    <x v="28"/>
    <x v="3"/>
    <x v="3"/>
    <x v="2"/>
  </r>
  <r>
    <x v="2"/>
    <x v="0"/>
    <n v="211622"/>
    <x v="82"/>
    <x v="3"/>
    <x v="3"/>
    <x v="2"/>
  </r>
  <r>
    <x v="2"/>
    <x v="0"/>
    <n v="169872"/>
    <x v="79"/>
    <x v="3"/>
    <x v="3"/>
    <x v="2"/>
  </r>
  <r>
    <x v="2"/>
    <x v="0"/>
    <n v="144649"/>
    <x v="102"/>
    <x v="3"/>
    <x v="3"/>
    <x v="2"/>
  </r>
  <r>
    <x v="2"/>
    <x v="0"/>
    <n v="1733"/>
    <x v="37"/>
    <x v="3"/>
    <x v="3"/>
    <x v="2"/>
  </r>
  <r>
    <x v="2"/>
    <x v="0"/>
    <n v="217081"/>
    <x v="13"/>
    <x v="3"/>
    <x v="3"/>
    <x v="2"/>
  </r>
  <r>
    <x v="2"/>
    <x v="0"/>
    <n v="311895"/>
    <x v="34"/>
    <x v="3"/>
    <x v="3"/>
    <x v="2"/>
  </r>
  <r>
    <x v="2"/>
    <x v="0"/>
    <n v="204952"/>
    <x v="56"/>
    <x v="3"/>
    <x v="3"/>
    <x v="2"/>
  </r>
  <r>
    <x v="2"/>
    <x v="0"/>
    <n v="324108"/>
    <x v="35"/>
    <x v="3"/>
    <x v="3"/>
    <x v="2"/>
  </r>
  <r>
    <x v="2"/>
    <x v="0"/>
    <n v="210127"/>
    <x v="41"/>
    <x v="3"/>
    <x v="3"/>
    <x v="2"/>
  </r>
  <r>
    <x v="2"/>
    <x v="0"/>
    <n v="117230"/>
    <x v="73"/>
    <x v="3"/>
    <x v="3"/>
    <x v="2"/>
  </r>
  <r>
    <x v="2"/>
    <x v="0"/>
    <n v="117456"/>
    <x v="80"/>
    <x v="3"/>
    <x v="3"/>
    <x v="2"/>
  </r>
  <r>
    <x v="2"/>
    <x v="0"/>
    <n v="210515"/>
    <x v="43"/>
    <x v="3"/>
    <x v="3"/>
    <x v="2"/>
  </r>
  <r>
    <x v="2"/>
    <x v="0"/>
    <n v="205228"/>
    <x v="44"/>
    <x v="3"/>
    <x v="3"/>
    <x v="2"/>
  </r>
  <r>
    <x v="2"/>
    <x v="0"/>
    <n v="161520"/>
    <x v="77"/>
    <x v="3"/>
    <x v="3"/>
    <x v="2"/>
  </r>
  <r>
    <x v="2"/>
    <x v="0"/>
    <n v="203631"/>
    <x v="71"/>
    <x v="3"/>
    <x v="3"/>
    <x v="2"/>
  </r>
  <r>
    <x v="2"/>
    <x v="0"/>
    <n v="217678"/>
    <x v="104"/>
    <x v="3"/>
    <x v="3"/>
    <x v="2"/>
  </r>
  <r>
    <x v="2"/>
    <x v="0"/>
    <n v="218623"/>
    <x v="65"/>
    <x v="3"/>
    <x v="3"/>
    <x v="2"/>
  </r>
  <r>
    <x v="2"/>
    <x v="0"/>
    <n v="117986"/>
    <x v="92"/>
    <x v="3"/>
    <x v="3"/>
    <x v="2"/>
  </r>
  <r>
    <x v="2"/>
    <x v="0"/>
    <n v="160030"/>
    <x v="55"/>
    <x v="3"/>
    <x v="3"/>
    <x v="2"/>
  </r>
  <r>
    <x v="2"/>
    <x v="0"/>
    <n v="211415"/>
    <x v="50"/>
    <x v="3"/>
    <x v="3"/>
    <x v="2"/>
  </r>
  <r>
    <x v="2"/>
    <x v="0"/>
    <n v="158311"/>
    <x v="60"/>
    <x v="3"/>
    <x v="3"/>
    <x v="2"/>
  </r>
  <r>
    <x v="2"/>
    <x v="0"/>
    <n v="215020"/>
    <x v="72"/>
    <x v="3"/>
    <x v="3"/>
    <x v="2"/>
  </r>
  <r>
    <x v="2"/>
    <x v="0"/>
    <n v="301805"/>
    <x v="64"/>
    <x v="3"/>
    <x v="3"/>
    <x v="2"/>
  </r>
  <r>
    <x v="3"/>
    <x v="0"/>
    <n v="210515"/>
    <x v="43"/>
    <x v="3"/>
    <x v="3"/>
    <x v="3"/>
  </r>
  <r>
    <x v="3"/>
    <x v="0"/>
    <n v="203631"/>
    <x v="71"/>
    <x v="3"/>
    <x v="3"/>
    <x v="3"/>
  </r>
  <r>
    <x v="3"/>
    <x v="0"/>
    <n v="301983"/>
    <x v="85"/>
    <x v="3"/>
    <x v="3"/>
    <x v="3"/>
  </r>
  <r>
    <x v="3"/>
    <x v="0"/>
    <n v="321932"/>
    <x v="23"/>
    <x v="3"/>
    <x v="3"/>
    <x v="3"/>
  </r>
  <r>
    <x v="3"/>
    <x v="0"/>
    <n v="161520"/>
    <x v="77"/>
    <x v="3"/>
    <x v="3"/>
    <x v="3"/>
  </r>
  <r>
    <x v="3"/>
    <x v="0"/>
    <n v="215020"/>
    <x v="72"/>
    <x v="3"/>
    <x v="3"/>
    <x v="3"/>
  </r>
  <r>
    <x v="3"/>
    <x v="0"/>
    <n v="217678"/>
    <x v="104"/>
    <x v="3"/>
    <x v="3"/>
    <x v="3"/>
  </r>
  <r>
    <x v="3"/>
    <x v="0"/>
    <n v="206298"/>
    <x v="14"/>
    <x v="3"/>
    <x v="3"/>
    <x v="3"/>
  </r>
  <r>
    <x v="3"/>
    <x v="0"/>
    <n v="218732"/>
    <x v="29"/>
    <x v="3"/>
    <x v="3"/>
    <x v="3"/>
  </r>
  <r>
    <x v="3"/>
    <x v="0"/>
    <n v="160030"/>
    <x v="55"/>
    <x v="3"/>
    <x v="3"/>
    <x v="3"/>
  </r>
  <r>
    <x v="3"/>
    <x v="0"/>
    <n v="169537"/>
    <x v="81"/>
    <x v="3"/>
    <x v="3"/>
    <x v="3"/>
  </r>
  <r>
    <x v="3"/>
    <x v="0"/>
    <n v="302335"/>
    <x v="70"/>
    <x v="3"/>
    <x v="3"/>
    <x v="3"/>
  </r>
  <r>
    <x v="3"/>
    <x v="0"/>
    <n v="216476"/>
    <x v="94"/>
    <x v="3"/>
    <x v="3"/>
    <x v="3"/>
  </r>
  <r>
    <x v="3"/>
    <x v="0"/>
    <n v="301920"/>
    <x v="91"/>
    <x v="3"/>
    <x v="3"/>
    <x v="3"/>
  </r>
  <r>
    <x v="3"/>
    <x v="0"/>
    <n v="206968"/>
    <x v="12"/>
    <x v="3"/>
    <x v="3"/>
    <x v="3"/>
  </r>
  <r>
    <x v="3"/>
    <x v="0"/>
    <n v="158311"/>
    <x v="60"/>
    <x v="3"/>
    <x v="3"/>
    <x v="3"/>
  </r>
  <r>
    <x v="3"/>
    <x v="0"/>
    <n v="216566"/>
    <x v="96"/>
    <x v="3"/>
    <x v="3"/>
    <x v="3"/>
  </r>
  <r>
    <x v="3"/>
    <x v="0"/>
    <n v="169872"/>
    <x v="79"/>
    <x v="3"/>
    <x v="3"/>
    <x v="3"/>
  </r>
  <r>
    <x v="3"/>
    <x v="0"/>
    <n v="205228"/>
    <x v="44"/>
    <x v="3"/>
    <x v="3"/>
    <x v="3"/>
  </r>
  <r>
    <x v="3"/>
    <x v="0"/>
    <n v="301809"/>
    <x v="95"/>
    <x v="3"/>
    <x v="3"/>
    <x v="3"/>
  </r>
  <r>
    <x v="3"/>
    <x v="0"/>
    <n v="144649"/>
    <x v="102"/>
    <x v="3"/>
    <x v="3"/>
    <x v="3"/>
  </r>
  <r>
    <x v="3"/>
    <x v="0"/>
    <n v="217081"/>
    <x v="13"/>
    <x v="3"/>
    <x v="3"/>
    <x v="3"/>
  </r>
  <r>
    <x v="3"/>
    <x v="0"/>
    <n v="144154"/>
    <x v="93"/>
    <x v="3"/>
    <x v="3"/>
    <x v="3"/>
  </r>
  <r>
    <x v="3"/>
    <x v="0"/>
    <n v="211415"/>
    <x v="50"/>
    <x v="3"/>
    <x v="3"/>
    <x v="3"/>
  </r>
  <r>
    <x v="3"/>
    <x v="0"/>
    <n v="218623"/>
    <x v="65"/>
    <x v="3"/>
    <x v="3"/>
    <x v="3"/>
  </r>
  <r>
    <x v="3"/>
    <x v="0"/>
    <n v="301805"/>
    <x v="64"/>
    <x v="3"/>
    <x v="3"/>
    <x v="3"/>
  </r>
  <r>
    <x v="3"/>
    <x v="0"/>
    <n v="140302"/>
    <x v="100"/>
    <x v="3"/>
    <x v="3"/>
    <x v="3"/>
  </r>
  <r>
    <x v="3"/>
    <x v="0"/>
    <n v="300862"/>
    <x v="66"/>
    <x v="3"/>
    <x v="3"/>
    <x v="3"/>
  </r>
  <r>
    <x v="3"/>
    <x v="0"/>
    <n v="312259"/>
    <x v="28"/>
    <x v="3"/>
    <x v="3"/>
    <x v="3"/>
  </r>
  <r>
    <x v="3"/>
    <x v="0"/>
    <n v="130744"/>
    <x v="97"/>
    <x v="3"/>
    <x v="3"/>
    <x v="3"/>
  </r>
  <r>
    <x v="3"/>
    <x v="0"/>
    <n v="218210"/>
    <x v="69"/>
    <x v="3"/>
    <x v="3"/>
    <x v="3"/>
  </r>
  <r>
    <x v="3"/>
    <x v="0"/>
    <n v="206348"/>
    <x v="4"/>
    <x v="3"/>
    <x v="3"/>
    <x v="3"/>
  </r>
  <r>
    <x v="3"/>
    <x v="0"/>
    <n v="301760"/>
    <x v="89"/>
    <x v="3"/>
    <x v="3"/>
    <x v="3"/>
  </r>
  <r>
    <x v="3"/>
    <x v="0"/>
    <n v="210127"/>
    <x v="41"/>
    <x v="3"/>
    <x v="3"/>
    <x v="3"/>
  </r>
  <r>
    <x v="3"/>
    <x v="0"/>
    <n v="206708"/>
    <x v="7"/>
    <x v="3"/>
    <x v="3"/>
    <x v="3"/>
  </r>
  <r>
    <x v="3"/>
    <x v="0"/>
    <n v="300571"/>
    <x v="18"/>
    <x v="3"/>
    <x v="3"/>
    <x v="3"/>
  </r>
  <r>
    <x v="3"/>
    <x v="0"/>
    <n v="218225"/>
    <x v="1"/>
    <x v="3"/>
    <x v="3"/>
    <x v="3"/>
  </r>
  <r>
    <x v="3"/>
    <x v="0"/>
    <n v="211622"/>
    <x v="82"/>
    <x v="3"/>
    <x v="3"/>
    <x v="3"/>
  </r>
  <r>
    <x v="3"/>
    <x v="0"/>
    <n v="118535"/>
    <x v="90"/>
    <x v="3"/>
    <x v="3"/>
    <x v="3"/>
  </r>
  <r>
    <x v="3"/>
    <x v="0"/>
    <n v="204939"/>
    <x v="61"/>
    <x v="3"/>
    <x v="3"/>
    <x v="3"/>
  </r>
  <r>
    <x v="3"/>
    <x v="0"/>
    <n v="204952"/>
    <x v="56"/>
    <x v="3"/>
    <x v="3"/>
    <x v="3"/>
  </r>
  <r>
    <x v="3"/>
    <x v="0"/>
    <n v="218402"/>
    <x v="101"/>
    <x v="3"/>
    <x v="3"/>
    <x v="3"/>
  </r>
  <r>
    <x v="3"/>
    <x v="0"/>
    <n v="117456"/>
    <x v="80"/>
    <x v="3"/>
    <x v="3"/>
    <x v="3"/>
  </r>
  <r>
    <x v="3"/>
    <x v="0"/>
    <n v="301229"/>
    <x v="98"/>
    <x v="3"/>
    <x v="3"/>
    <x v="3"/>
  </r>
  <r>
    <x v="3"/>
    <x v="0"/>
    <n v="117986"/>
    <x v="92"/>
    <x v="3"/>
    <x v="3"/>
    <x v="3"/>
  </r>
  <r>
    <x v="3"/>
    <x v="0"/>
    <n v="218616"/>
    <x v="86"/>
    <x v="3"/>
    <x v="3"/>
    <x v="3"/>
  </r>
  <r>
    <x v="3"/>
    <x v="0"/>
    <n v="300169"/>
    <x v="5"/>
    <x v="3"/>
    <x v="3"/>
    <x v="3"/>
  </r>
  <r>
    <x v="3"/>
    <x v="0"/>
    <n v="316646"/>
    <x v="6"/>
    <x v="3"/>
    <x v="3"/>
    <x v="3"/>
  </r>
  <r>
    <x v="3"/>
    <x v="0"/>
    <n v="117230"/>
    <x v="73"/>
    <x v="3"/>
    <x v="3"/>
    <x v="3"/>
  </r>
  <r>
    <x v="3"/>
    <x v="0"/>
    <n v="324108"/>
    <x v="35"/>
    <x v="3"/>
    <x v="3"/>
    <x v="3"/>
  </r>
  <r>
    <x v="3"/>
    <x v="0"/>
    <n v="302856"/>
    <x v="46"/>
    <x v="3"/>
    <x v="3"/>
    <x v="3"/>
  </r>
  <r>
    <x v="3"/>
    <x v="0"/>
    <n v="208277"/>
    <x v="25"/>
    <x v="3"/>
    <x v="3"/>
    <x v="3"/>
  </r>
  <r>
    <x v="3"/>
    <x v="0"/>
    <n v="302988"/>
    <x v="45"/>
    <x v="3"/>
    <x v="3"/>
    <x v="3"/>
  </r>
  <r>
    <x v="3"/>
    <x v="0"/>
    <n v="117501"/>
    <x v="84"/>
    <x v="3"/>
    <x v="3"/>
    <x v="3"/>
  </r>
  <r>
    <x v="3"/>
    <x v="0"/>
    <n v="311895"/>
    <x v="34"/>
    <x v="3"/>
    <x v="3"/>
    <x v="3"/>
  </r>
  <r>
    <x v="3"/>
    <x v="0"/>
    <n v="300711"/>
    <x v="74"/>
    <x v="3"/>
    <x v="3"/>
    <x v="3"/>
  </r>
  <r>
    <x v="3"/>
    <x v="0"/>
    <n v="303189"/>
    <x v="42"/>
    <x v="3"/>
    <x v="3"/>
    <x v="3"/>
  </r>
  <r>
    <x v="3"/>
    <x v="0"/>
    <n v="210001"/>
    <x v="36"/>
    <x v="3"/>
    <x v="3"/>
    <x v="3"/>
  </r>
  <r>
    <x v="3"/>
    <x v="0"/>
    <n v="2737"/>
    <x v="62"/>
    <x v="3"/>
    <x v="3"/>
    <x v="3"/>
  </r>
  <r>
    <x v="3"/>
    <x v="0"/>
    <n v="686"/>
    <x v="26"/>
    <x v="3"/>
    <x v="3"/>
    <x v="3"/>
  </r>
  <r>
    <x v="3"/>
    <x v="0"/>
    <n v="303221"/>
    <x v="38"/>
    <x v="3"/>
    <x v="3"/>
    <x v="3"/>
  </r>
  <r>
    <x v="3"/>
    <x v="0"/>
    <n v="1733"/>
    <x v="37"/>
    <x v="3"/>
    <x v="3"/>
    <x v="3"/>
  </r>
  <r>
    <x v="3"/>
    <x v="0"/>
    <n v="323608"/>
    <x v="31"/>
    <x v="3"/>
    <x v="3"/>
    <x v="3"/>
  </r>
  <r>
    <x v="3"/>
    <x v="0"/>
    <n v="209208"/>
    <x v="30"/>
    <x v="3"/>
    <x v="3"/>
    <x v="3"/>
  </r>
  <r>
    <x v="3"/>
    <x v="0"/>
    <n v="209211"/>
    <x v="33"/>
    <x v="3"/>
    <x v="3"/>
    <x v="3"/>
  </r>
  <r>
    <x v="3"/>
    <x v="0"/>
    <n v="218916"/>
    <x v="17"/>
    <x v="3"/>
    <x v="3"/>
    <x v="3"/>
  </r>
  <r>
    <x v="3"/>
    <x v="0"/>
    <n v="205985"/>
    <x v="27"/>
    <x v="3"/>
    <x v="3"/>
    <x v="3"/>
  </r>
  <r>
    <x v="3"/>
    <x v="0"/>
    <n v="218698"/>
    <x v="48"/>
    <x v="3"/>
    <x v="3"/>
    <x v="3"/>
  </r>
  <r>
    <x v="3"/>
    <x v="0"/>
    <n v="314137"/>
    <x v="19"/>
    <x v="3"/>
    <x v="3"/>
    <x v="3"/>
  </r>
  <r>
    <x v="3"/>
    <x v="0"/>
    <n v="312617"/>
    <x v="24"/>
    <x v="3"/>
    <x v="3"/>
    <x v="3"/>
  </r>
  <r>
    <x v="3"/>
    <x v="0"/>
    <n v="300363"/>
    <x v="11"/>
    <x v="3"/>
    <x v="3"/>
    <x v="3"/>
  </r>
  <r>
    <x v="3"/>
    <x v="0"/>
    <n v="312807"/>
    <x v="21"/>
    <x v="3"/>
    <x v="3"/>
    <x v="3"/>
  </r>
  <r>
    <x v="3"/>
    <x v="0"/>
    <n v="317470"/>
    <x v="10"/>
    <x v="3"/>
    <x v="3"/>
    <x v="3"/>
  </r>
  <r>
    <x v="3"/>
    <x v="0"/>
    <n v="316879"/>
    <x v="2"/>
    <x v="3"/>
    <x v="3"/>
    <x v="3"/>
  </r>
  <r>
    <x v="4"/>
    <x v="0"/>
    <n v="316879"/>
    <x v="2"/>
    <x v="3"/>
    <x v="3"/>
    <x v="4"/>
  </r>
  <r>
    <x v="4"/>
    <x v="0"/>
    <n v="300169"/>
    <x v="5"/>
    <x v="3"/>
    <x v="3"/>
    <x v="4"/>
  </r>
  <r>
    <x v="4"/>
    <x v="0"/>
    <n v="686"/>
    <x v="26"/>
    <x v="3"/>
    <x v="3"/>
    <x v="4"/>
  </r>
  <r>
    <x v="4"/>
    <x v="0"/>
    <n v="1733"/>
    <x v="37"/>
    <x v="3"/>
    <x v="3"/>
    <x v="4"/>
  </r>
  <r>
    <x v="4"/>
    <x v="0"/>
    <n v="2737"/>
    <x v="62"/>
    <x v="3"/>
    <x v="3"/>
    <x v="4"/>
  </r>
  <r>
    <x v="4"/>
    <x v="0"/>
    <n v="117230"/>
    <x v="73"/>
    <x v="3"/>
    <x v="3"/>
    <x v="4"/>
  </r>
  <r>
    <x v="4"/>
    <x v="0"/>
    <n v="117456"/>
    <x v="80"/>
    <x v="3"/>
    <x v="3"/>
    <x v="4"/>
  </r>
  <r>
    <x v="4"/>
    <x v="0"/>
    <n v="117501"/>
    <x v="84"/>
    <x v="3"/>
    <x v="3"/>
    <x v="4"/>
  </r>
  <r>
    <x v="4"/>
    <x v="0"/>
    <n v="117986"/>
    <x v="92"/>
    <x v="3"/>
    <x v="3"/>
    <x v="4"/>
  </r>
  <r>
    <x v="4"/>
    <x v="0"/>
    <n v="300363"/>
    <x v="11"/>
    <x v="3"/>
    <x v="3"/>
    <x v="4"/>
  </r>
  <r>
    <x v="4"/>
    <x v="0"/>
    <n v="218916"/>
    <x v="17"/>
    <x v="3"/>
    <x v="3"/>
    <x v="4"/>
  </r>
  <r>
    <x v="4"/>
    <x v="0"/>
    <n v="118535"/>
    <x v="90"/>
    <x v="3"/>
    <x v="3"/>
    <x v="4"/>
  </r>
  <r>
    <x v="4"/>
    <x v="0"/>
    <n v="218732"/>
    <x v="29"/>
    <x v="3"/>
    <x v="3"/>
    <x v="4"/>
  </r>
  <r>
    <x v="4"/>
    <x v="0"/>
    <n v="130744"/>
    <x v="97"/>
    <x v="3"/>
    <x v="3"/>
    <x v="4"/>
  </r>
  <r>
    <x v="4"/>
    <x v="0"/>
    <n v="218698"/>
    <x v="48"/>
    <x v="3"/>
    <x v="3"/>
    <x v="4"/>
  </r>
  <r>
    <x v="4"/>
    <x v="0"/>
    <n v="300571"/>
    <x v="18"/>
    <x v="3"/>
    <x v="3"/>
    <x v="4"/>
  </r>
  <r>
    <x v="4"/>
    <x v="0"/>
    <n v="140302"/>
    <x v="100"/>
    <x v="3"/>
    <x v="3"/>
    <x v="4"/>
  </r>
  <r>
    <x v="4"/>
    <x v="0"/>
    <n v="144154"/>
    <x v="93"/>
    <x v="3"/>
    <x v="3"/>
    <x v="4"/>
  </r>
  <r>
    <x v="4"/>
    <x v="0"/>
    <n v="144649"/>
    <x v="102"/>
    <x v="3"/>
    <x v="3"/>
    <x v="4"/>
  </r>
  <r>
    <x v="4"/>
    <x v="0"/>
    <n v="218616"/>
    <x v="86"/>
    <x v="3"/>
    <x v="3"/>
    <x v="4"/>
  </r>
  <r>
    <x v="4"/>
    <x v="0"/>
    <n v="323608"/>
    <x v="31"/>
    <x v="3"/>
    <x v="3"/>
    <x v="4"/>
  </r>
  <r>
    <x v="4"/>
    <x v="0"/>
    <n v="312617"/>
    <x v="24"/>
    <x v="3"/>
    <x v="3"/>
    <x v="4"/>
  </r>
  <r>
    <x v="4"/>
    <x v="0"/>
    <n v="158311"/>
    <x v="60"/>
    <x v="3"/>
    <x v="3"/>
    <x v="4"/>
  </r>
  <r>
    <x v="4"/>
    <x v="0"/>
    <n v="209211"/>
    <x v="33"/>
    <x v="3"/>
    <x v="3"/>
    <x v="4"/>
  </r>
  <r>
    <x v="4"/>
    <x v="0"/>
    <n v="160030"/>
    <x v="55"/>
    <x v="3"/>
    <x v="3"/>
    <x v="4"/>
  </r>
  <r>
    <x v="4"/>
    <x v="0"/>
    <n v="300711"/>
    <x v="74"/>
    <x v="3"/>
    <x v="3"/>
    <x v="4"/>
  </r>
  <r>
    <x v="4"/>
    <x v="0"/>
    <n v="301760"/>
    <x v="89"/>
    <x v="3"/>
    <x v="3"/>
    <x v="4"/>
  </r>
  <r>
    <x v="4"/>
    <x v="0"/>
    <n v="161520"/>
    <x v="77"/>
    <x v="3"/>
    <x v="3"/>
    <x v="4"/>
  </r>
  <r>
    <x v="4"/>
    <x v="0"/>
    <n v="169537"/>
    <x v="81"/>
    <x v="3"/>
    <x v="3"/>
    <x v="4"/>
  </r>
  <r>
    <x v="4"/>
    <x v="0"/>
    <n v="169872"/>
    <x v="79"/>
    <x v="3"/>
    <x v="3"/>
    <x v="4"/>
  </r>
  <r>
    <x v="4"/>
    <x v="0"/>
    <n v="210001"/>
    <x v="36"/>
    <x v="3"/>
    <x v="3"/>
    <x v="4"/>
  </r>
  <r>
    <x v="4"/>
    <x v="0"/>
    <n v="301920"/>
    <x v="91"/>
    <x v="3"/>
    <x v="3"/>
    <x v="4"/>
  </r>
  <r>
    <x v="4"/>
    <x v="0"/>
    <n v="203631"/>
    <x v="71"/>
    <x v="3"/>
    <x v="3"/>
    <x v="4"/>
  </r>
  <r>
    <x v="4"/>
    <x v="0"/>
    <n v="300862"/>
    <x v="66"/>
    <x v="3"/>
    <x v="3"/>
    <x v="4"/>
  </r>
  <r>
    <x v="4"/>
    <x v="0"/>
    <n v="204939"/>
    <x v="61"/>
    <x v="3"/>
    <x v="3"/>
    <x v="4"/>
  </r>
  <r>
    <x v="4"/>
    <x v="0"/>
    <n v="204952"/>
    <x v="56"/>
    <x v="3"/>
    <x v="3"/>
    <x v="4"/>
  </r>
  <r>
    <x v="4"/>
    <x v="0"/>
    <n v="303221"/>
    <x v="38"/>
    <x v="3"/>
    <x v="3"/>
    <x v="4"/>
  </r>
  <r>
    <x v="4"/>
    <x v="0"/>
    <n v="324108"/>
    <x v="35"/>
    <x v="3"/>
    <x v="3"/>
    <x v="4"/>
  </r>
  <r>
    <x v="4"/>
    <x v="0"/>
    <n v="218623"/>
    <x v="65"/>
    <x v="3"/>
    <x v="3"/>
    <x v="4"/>
  </r>
  <r>
    <x v="4"/>
    <x v="0"/>
    <n v="312807"/>
    <x v="21"/>
    <x v="3"/>
    <x v="3"/>
    <x v="4"/>
  </r>
  <r>
    <x v="4"/>
    <x v="0"/>
    <n v="205228"/>
    <x v="44"/>
    <x v="3"/>
    <x v="3"/>
    <x v="4"/>
  </r>
  <r>
    <x v="4"/>
    <x v="0"/>
    <n v="301809"/>
    <x v="95"/>
    <x v="3"/>
    <x v="3"/>
    <x v="4"/>
  </r>
  <r>
    <x v="4"/>
    <x v="0"/>
    <n v="303189"/>
    <x v="42"/>
    <x v="3"/>
    <x v="3"/>
    <x v="4"/>
  </r>
  <r>
    <x v="4"/>
    <x v="0"/>
    <n v="301229"/>
    <x v="98"/>
    <x v="3"/>
    <x v="3"/>
    <x v="4"/>
  </r>
  <r>
    <x v="4"/>
    <x v="0"/>
    <n v="205985"/>
    <x v="27"/>
    <x v="3"/>
    <x v="3"/>
    <x v="4"/>
  </r>
  <r>
    <x v="4"/>
    <x v="0"/>
    <n v="218402"/>
    <x v="101"/>
    <x v="3"/>
    <x v="3"/>
    <x v="4"/>
  </r>
  <r>
    <x v="4"/>
    <x v="0"/>
    <n v="317470"/>
    <x v="10"/>
    <x v="3"/>
    <x v="3"/>
    <x v="4"/>
  </r>
  <r>
    <x v="4"/>
    <x v="0"/>
    <n v="216566"/>
    <x v="96"/>
    <x v="3"/>
    <x v="3"/>
    <x v="4"/>
  </r>
  <r>
    <x v="4"/>
    <x v="0"/>
    <n v="321932"/>
    <x v="23"/>
    <x v="3"/>
    <x v="3"/>
    <x v="4"/>
  </r>
  <r>
    <x v="4"/>
    <x v="0"/>
    <n v="206298"/>
    <x v="14"/>
    <x v="3"/>
    <x v="3"/>
    <x v="4"/>
  </r>
  <r>
    <x v="4"/>
    <x v="0"/>
    <n v="218225"/>
    <x v="1"/>
    <x v="3"/>
    <x v="3"/>
    <x v="4"/>
  </r>
  <r>
    <x v="4"/>
    <x v="0"/>
    <n v="302335"/>
    <x v="70"/>
    <x v="3"/>
    <x v="3"/>
    <x v="4"/>
  </r>
  <r>
    <x v="4"/>
    <x v="0"/>
    <n v="206348"/>
    <x v="4"/>
    <x v="3"/>
    <x v="3"/>
    <x v="4"/>
  </r>
  <r>
    <x v="4"/>
    <x v="0"/>
    <n v="218210"/>
    <x v="69"/>
    <x v="3"/>
    <x v="3"/>
    <x v="4"/>
  </r>
  <r>
    <x v="4"/>
    <x v="0"/>
    <n v="316646"/>
    <x v="6"/>
    <x v="3"/>
    <x v="3"/>
    <x v="4"/>
  </r>
  <r>
    <x v="4"/>
    <x v="0"/>
    <n v="301805"/>
    <x v="64"/>
    <x v="3"/>
    <x v="3"/>
    <x v="4"/>
  </r>
  <r>
    <x v="4"/>
    <x v="0"/>
    <n v="206708"/>
    <x v="7"/>
    <x v="3"/>
    <x v="3"/>
    <x v="4"/>
  </r>
  <r>
    <x v="4"/>
    <x v="0"/>
    <n v="217678"/>
    <x v="104"/>
    <x v="3"/>
    <x v="3"/>
    <x v="4"/>
  </r>
  <r>
    <x v="4"/>
    <x v="0"/>
    <n v="301983"/>
    <x v="85"/>
    <x v="3"/>
    <x v="3"/>
    <x v="4"/>
  </r>
  <r>
    <x v="4"/>
    <x v="0"/>
    <n v="302988"/>
    <x v="45"/>
    <x v="3"/>
    <x v="3"/>
    <x v="4"/>
  </r>
  <r>
    <x v="4"/>
    <x v="0"/>
    <n v="217081"/>
    <x v="13"/>
    <x v="3"/>
    <x v="3"/>
    <x v="4"/>
  </r>
  <r>
    <x v="4"/>
    <x v="0"/>
    <n v="216476"/>
    <x v="94"/>
    <x v="3"/>
    <x v="3"/>
    <x v="4"/>
  </r>
  <r>
    <x v="4"/>
    <x v="0"/>
    <n v="206968"/>
    <x v="12"/>
    <x v="3"/>
    <x v="3"/>
    <x v="4"/>
  </r>
  <r>
    <x v="4"/>
    <x v="0"/>
    <n v="314137"/>
    <x v="19"/>
    <x v="3"/>
    <x v="3"/>
    <x v="4"/>
  </r>
  <r>
    <x v="4"/>
    <x v="0"/>
    <n v="208277"/>
    <x v="25"/>
    <x v="3"/>
    <x v="3"/>
    <x v="4"/>
  </r>
  <r>
    <x v="4"/>
    <x v="0"/>
    <n v="215020"/>
    <x v="72"/>
    <x v="3"/>
    <x v="3"/>
    <x v="4"/>
  </r>
  <r>
    <x v="4"/>
    <x v="0"/>
    <n v="209208"/>
    <x v="30"/>
    <x v="3"/>
    <x v="3"/>
    <x v="4"/>
  </r>
  <r>
    <x v="4"/>
    <x v="0"/>
    <n v="312259"/>
    <x v="28"/>
    <x v="3"/>
    <x v="3"/>
    <x v="4"/>
  </r>
  <r>
    <x v="4"/>
    <x v="0"/>
    <n v="210127"/>
    <x v="41"/>
    <x v="3"/>
    <x v="3"/>
    <x v="4"/>
  </r>
  <r>
    <x v="4"/>
    <x v="0"/>
    <n v="302856"/>
    <x v="46"/>
    <x v="3"/>
    <x v="3"/>
    <x v="4"/>
  </r>
  <r>
    <x v="4"/>
    <x v="0"/>
    <n v="311895"/>
    <x v="34"/>
    <x v="3"/>
    <x v="3"/>
    <x v="4"/>
  </r>
  <r>
    <x v="4"/>
    <x v="0"/>
    <n v="211622"/>
    <x v="82"/>
    <x v="3"/>
    <x v="3"/>
    <x v="4"/>
  </r>
  <r>
    <x v="4"/>
    <x v="0"/>
    <n v="210515"/>
    <x v="43"/>
    <x v="3"/>
    <x v="3"/>
    <x v="4"/>
  </r>
  <r>
    <x v="4"/>
    <x v="0"/>
    <n v="211415"/>
    <x v="50"/>
    <x v="3"/>
    <x v="3"/>
    <x v="4"/>
  </r>
  <r>
    <x v="5"/>
    <x v="0"/>
    <n v="217678"/>
    <x v="104"/>
    <x v="3"/>
    <x v="3"/>
    <x v="5"/>
  </r>
  <r>
    <x v="5"/>
    <x v="0"/>
    <n v="169537"/>
    <x v="81"/>
    <x v="3"/>
    <x v="3"/>
    <x v="5"/>
  </r>
  <r>
    <x v="5"/>
    <x v="0"/>
    <n v="210001"/>
    <x v="36"/>
    <x v="3"/>
    <x v="3"/>
    <x v="5"/>
  </r>
  <r>
    <x v="5"/>
    <x v="0"/>
    <n v="210127"/>
    <x v="41"/>
    <x v="3"/>
    <x v="3"/>
    <x v="5"/>
  </r>
  <r>
    <x v="5"/>
    <x v="0"/>
    <n v="300169"/>
    <x v="5"/>
    <x v="3"/>
    <x v="3"/>
    <x v="5"/>
  </r>
  <r>
    <x v="5"/>
    <x v="0"/>
    <n v="303189"/>
    <x v="42"/>
    <x v="3"/>
    <x v="3"/>
    <x v="5"/>
  </r>
  <r>
    <x v="5"/>
    <x v="0"/>
    <n v="210515"/>
    <x v="43"/>
    <x v="3"/>
    <x v="3"/>
    <x v="5"/>
  </r>
  <r>
    <x v="5"/>
    <x v="0"/>
    <n v="686"/>
    <x v="26"/>
    <x v="3"/>
    <x v="3"/>
    <x v="5"/>
  </r>
  <r>
    <x v="5"/>
    <x v="0"/>
    <n v="302988"/>
    <x v="45"/>
    <x v="3"/>
    <x v="3"/>
    <x v="5"/>
  </r>
  <r>
    <x v="5"/>
    <x v="0"/>
    <n v="303221"/>
    <x v="38"/>
    <x v="3"/>
    <x v="3"/>
    <x v="5"/>
  </r>
  <r>
    <x v="5"/>
    <x v="0"/>
    <n v="1733"/>
    <x v="37"/>
    <x v="3"/>
    <x v="3"/>
    <x v="5"/>
  </r>
  <r>
    <x v="5"/>
    <x v="0"/>
    <n v="302856"/>
    <x v="46"/>
    <x v="3"/>
    <x v="3"/>
    <x v="5"/>
  </r>
  <r>
    <x v="5"/>
    <x v="0"/>
    <n v="2737"/>
    <x v="62"/>
    <x v="3"/>
    <x v="3"/>
    <x v="5"/>
  </r>
  <r>
    <x v="5"/>
    <x v="0"/>
    <n v="209211"/>
    <x v="33"/>
    <x v="3"/>
    <x v="3"/>
    <x v="5"/>
  </r>
  <r>
    <x v="5"/>
    <x v="0"/>
    <n v="211415"/>
    <x v="50"/>
    <x v="3"/>
    <x v="3"/>
    <x v="5"/>
  </r>
  <r>
    <x v="5"/>
    <x v="0"/>
    <n v="311895"/>
    <x v="34"/>
    <x v="3"/>
    <x v="3"/>
    <x v="5"/>
  </r>
  <r>
    <x v="5"/>
    <x v="0"/>
    <n v="117230"/>
    <x v="73"/>
    <x v="3"/>
    <x v="3"/>
    <x v="5"/>
  </r>
  <r>
    <x v="5"/>
    <x v="0"/>
    <n v="117456"/>
    <x v="80"/>
    <x v="3"/>
    <x v="3"/>
    <x v="5"/>
  </r>
  <r>
    <x v="5"/>
    <x v="0"/>
    <n v="117501"/>
    <x v="84"/>
    <x v="3"/>
    <x v="3"/>
    <x v="5"/>
  </r>
  <r>
    <x v="5"/>
    <x v="0"/>
    <n v="211622"/>
    <x v="82"/>
    <x v="3"/>
    <x v="3"/>
    <x v="5"/>
  </r>
  <r>
    <x v="5"/>
    <x v="0"/>
    <n v="302335"/>
    <x v="70"/>
    <x v="3"/>
    <x v="3"/>
    <x v="5"/>
  </r>
  <r>
    <x v="5"/>
    <x v="0"/>
    <n v="312259"/>
    <x v="28"/>
    <x v="3"/>
    <x v="3"/>
    <x v="5"/>
  </r>
  <r>
    <x v="5"/>
    <x v="0"/>
    <n v="218916"/>
    <x v="17"/>
    <x v="3"/>
    <x v="3"/>
    <x v="5"/>
  </r>
  <r>
    <x v="5"/>
    <x v="0"/>
    <n v="117986"/>
    <x v="92"/>
    <x v="3"/>
    <x v="3"/>
    <x v="5"/>
  </r>
  <r>
    <x v="5"/>
    <x v="0"/>
    <n v="209208"/>
    <x v="30"/>
    <x v="3"/>
    <x v="3"/>
    <x v="5"/>
  </r>
  <r>
    <x v="5"/>
    <x v="0"/>
    <n v="300363"/>
    <x v="11"/>
    <x v="3"/>
    <x v="3"/>
    <x v="5"/>
  </r>
  <r>
    <x v="5"/>
    <x v="0"/>
    <n v="215020"/>
    <x v="72"/>
    <x v="3"/>
    <x v="3"/>
    <x v="5"/>
  </r>
  <r>
    <x v="5"/>
    <x v="0"/>
    <n v="118535"/>
    <x v="90"/>
    <x v="3"/>
    <x v="3"/>
    <x v="5"/>
  </r>
  <r>
    <x v="5"/>
    <x v="0"/>
    <n v="218732"/>
    <x v="29"/>
    <x v="3"/>
    <x v="3"/>
    <x v="5"/>
  </r>
  <r>
    <x v="5"/>
    <x v="0"/>
    <n v="301983"/>
    <x v="85"/>
    <x v="3"/>
    <x v="3"/>
    <x v="5"/>
  </r>
  <r>
    <x v="5"/>
    <x v="0"/>
    <n v="208277"/>
    <x v="25"/>
    <x v="3"/>
    <x v="3"/>
    <x v="5"/>
  </r>
  <r>
    <x v="5"/>
    <x v="0"/>
    <n v="218698"/>
    <x v="48"/>
    <x v="3"/>
    <x v="3"/>
    <x v="5"/>
  </r>
  <r>
    <x v="5"/>
    <x v="0"/>
    <n v="205985"/>
    <x v="27"/>
    <x v="3"/>
    <x v="3"/>
    <x v="5"/>
  </r>
  <r>
    <x v="5"/>
    <x v="0"/>
    <n v="216476"/>
    <x v="94"/>
    <x v="3"/>
    <x v="3"/>
    <x v="5"/>
  </r>
  <r>
    <x v="5"/>
    <x v="0"/>
    <n v="312617"/>
    <x v="24"/>
    <x v="3"/>
    <x v="3"/>
    <x v="5"/>
  </r>
  <r>
    <x v="5"/>
    <x v="0"/>
    <n v="130744"/>
    <x v="97"/>
    <x v="3"/>
    <x v="3"/>
    <x v="5"/>
  </r>
  <r>
    <x v="5"/>
    <x v="0"/>
    <n v="144649"/>
    <x v="102"/>
    <x v="3"/>
    <x v="3"/>
    <x v="5"/>
  </r>
  <r>
    <x v="5"/>
    <x v="0"/>
    <n v="300571"/>
    <x v="18"/>
    <x v="3"/>
    <x v="3"/>
    <x v="5"/>
  </r>
  <r>
    <x v="5"/>
    <x v="0"/>
    <n v="314137"/>
    <x v="19"/>
    <x v="3"/>
    <x v="3"/>
    <x v="5"/>
  </r>
  <r>
    <x v="5"/>
    <x v="0"/>
    <n v="140302"/>
    <x v="100"/>
    <x v="3"/>
    <x v="3"/>
    <x v="5"/>
  </r>
  <r>
    <x v="5"/>
    <x v="0"/>
    <n v="144154"/>
    <x v="93"/>
    <x v="3"/>
    <x v="3"/>
    <x v="5"/>
  </r>
  <r>
    <x v="5"/>
    <x v="0"/>
    <n v="301920"/>
    <x v="91"/>
    <x v="3"/>
    <x v="3"/>
    <x v="5"/>
  </r>
  <r>
    <x v="5"/>
    <x v="0"/>
    <n v="216566"/>
    <x v="96"/>
    <x v="3"/>
    <x v="3"/>
    <x v="5"/>
  </r>
  <r>
    <x v="5"/>
    <x v="0"/>
    <n v="312807"/>
    <x v="21"/>
    <x v="3"/>
    <x v="3"/>
    <x v="5"/>
  </r>
  <r>
    <x v="5"/>
    <x v="0"/>
    <n v="217081"/>
    <x v="13"/>
    <x v="3"/>
    <x v="3"/>
    <x v="5"/>
  </r>
  <r>
    <x v="5"/>
    <x v="0"/>
    <n v="158311"/>
    <x v="60"/>
    <x v="3"/>
    <x v="3"/>
    <x v="5"/>
  </r>
  <r>
    <x v="5"/>
    <x v="0"/>
    <n v="204952"/>
    <x v="56"/>
    <x v="3"/>
    <x v="3"/>
    <x v="5"/>
  </r>
  <r>
    <x v="5"/>
    <x v="0"/>
    <n v="206968"/>
    <x v="12"/>
    <x v="3"/>
    <x v="3"/>
    <x v="5"/>
  </r>
  <r>
    <x v="5"/>
    <x v="0"/>
    <n v="301809"/>
    <x v="95"/>
    <x v="3"/>
    <x v="3"/>
    <x v="5"/>
  </r>
  <r>
    <x v="5"/>
    <x v="0"/>
    <n v="206708"/>
    <x v="7"/>
    <x v="3"/>
    <x v="3"/>
    <x v="5"/>
  </r>
  <r>
    <x v="5"/>
    <x v="0"/>
    <n v="316646"/>
    <x v="6"/>
    <x v="3"/>
    <x v="3"/>
    <x v="5"/>
  </r>
  <r>
    <x v="5"/>
    <x v="0"/>
    <n v="218402"/>
    <x v="101"/>
    <x v="3"/>
    <x v="3"/>
    <x v="5"/>
  </r>
  <r>
    <x v="5"/>
    <x v="0"/>
    <n v="321932"/>
    <x v="23"/>
    <x v="3"/>
    <x v="3"/>
    <x v="5"/>
  </r>
  <r>
    <x v="5"/>
    <x v="0"/>
    <n v="301805"/>
    <x v="64"/>
    <x v="3"/>
    <x v="3"/>
    <x v="5"/>
  </r>
  <r>
    <x v="5"/>
    <x v="0"/>
    <n v="203631"/>
    <x v="71"/>
    <x v="3"/>
    <x v="3"/>
    <x v="5"/>
  </r>
  <r>
    <x v="5"/>
    <x v="0"/>
    <n v="206348"/>
    <x v="4"/>
    <x v="3"/>
    <x v="3"/>
    <x v="5"/>
  </r>
  <r>
    <x v="5"/>
    <x v="0"/>
    <n v="218210"/>
    <x v="69"/>
    <x v="3"/>
    <x v="3"/>
    <x v="5"/>
  </r>
  <r>
    <x v="5"/>
    <x v="0"/>
    <n v="316879"/>
    <x v="2"/>
    <x v="3"/>
    <x v="3"/>
    <x v="5"/>
  </r>
  <r>
    <x v="5"/>
    <x v="0"/>
    <n v="160030"/>
    <x v="55"/>
    <x v="3"/>
    <x v="3"/>
    <x v="5"/>
  </r>
  <r>
    <x v="5"/>
    <x v="0"/>
    <n v="205228"/>
    <x v="44"/>
    <x v="3"/>
    <x v="3"/>
    <x v="5"/>
  </r>
  <r>
    <x v="5"/>
    <x v="0"/>
    <n v="206298"/>
    <x v="14"/>
    <x v="3"/>
    <x v="3"/>
    <x v="5"/>
  </r>
  <r>
    <x v="5"/>
    <x v="0"/>
    <n v="301760"/>
    <x v="89"/>
    <x v="3"/>
    <x v="3"/>
    <x v="5"/>
  </r>
  <r>
    <x v="5"/>
    <x v="0"/>
    <n v="317470"/>
    <x v="10"/>
    <x v="3"/>
    <x v="3"/>
    <x v="5"/>
  </r>
  <r>
    <x v="5"/>
    <x v="0"/>
    <n v="301229"/>
    <x v="98"/>
    <x v="3"/>
    <x v="3"/>
    <x v="5"/>
  </r>
  <r>
    <x v="5"/>
    <x v="0"/>
    <n v="218225"/>
    <x v="1"/>
    <x v="3"/>
    <x v="3"/>
    <x v="5"/>
  </r>
  <r>
    <x v="5"/>
    <x v="0"/>
    <n v="218623"/>
    <x v="65"/>
    <x v="3"/>
    <x v="3"/>
    <x v="5"/>
  </r>
  <r>
    <x v="5"/>
    <x v="0"/>
    <n v="300862"/>
    <x v="66"/>
    <x v="3"/>
    <x v="3"/>
    <x v="5"/>
  </r>
  <r>
    <x v="5"/>
    <x v="0"/>
    <n v="323608"/>
    <x v="31"/>
    <x v="3"/>
    <x v="3"/>
    <x v="5"/>
  </r>
  <r>
    <x v="5"/>
    <x v="0"/>
    <n v="204939"/>
    <x v="61"/>
    <x v="3"/>
    <x v="3"/>
    <x v="5"/>
  </r>
  <r>
    <x v="5"/>
    <x v="0"/>
    <n v="218616"/>
    <x v="86"/>
    <x v="3"/>
    <x v="3"/>
    <x v="5"/>
  </r>
  <r>
    <x v="5"/>
    <x v="0"/>
    <n v="324108"/>
    <x v="35"/>
    <x v="3"/>
    <x v="3"/>
    <x v="5"/>
  </r>
  <r>
    <x v="5"/>
    <x v="0"/>
    <n v="161520"/>
    <x v="77"/>
    <x v="3"/>
    <x v="3"/>
    <x v="5"/>
  </r>
  <r>
    <x v="5"/>
    <x v="0"/>
    <n v="300711"/>
    <x v="74"/>
    <x v="3"/>
    <x v="3"/>
    <x v="5"/>
  </r>
  <r>
    <x v="5"/>
    <x v="0"/>
    <n v="169872"/>
    <x v="79"/>
    <x v="3"/>
    <x v="3"/>
    <x v="5"/>
  </r>
  <r>
    <x v="6"/>
    <x v="0"/>
    <n v="169537"/>
    <x v="81"/>
    <x v="3"/>
    <x v="3"/>
    <x v="6"/>
  </r>
  <r>
    <x v="6"/>
    <x v="0"/>
    <n v="215020"/>
    <x v="72"/>
    <x v="3"/>
    <x v="3"/>
    <x v="6"/>
  </r>
  <r>
    <x v="6"/>
    <x v="0"/>
    <n v="169872"/>
    <x v="79"/>
    <x v="3"/>
    <x v="3"/>
    <x v="6"/>
  </r>
  <r>
    <x v="6"/>
    <x v="0"/>
    <n v="203631"/>
    <x v="71"/>
    <x v="3"/>
    <x v="3"/>
    <x v="6"/>
  </r>
  <r>
    <x v="6"/>
    <x v="0"/>
    <n v="204939"/>
    <x v="61"/>
    <x v="3"/>
    <x v="3"/>
    <x v="6"/>
  </r>
  <r>
    <x v="6"/>
    <x v="0"/>
    <n v="300862"/>
    <x v="66"/>
    <x v="3"/>
    <x v="3"/>
    <x v="6"/>
  </r>
  <r>
    <x v="6"/>
    <x v="0"/>
    <n v="204952"/>
    <x v="56"/>
    <x v="3"/>
    <x v="3"/>
    <x v="6"/>
  </r>
  <r>
    <x v="6"/>
    <x v="0"/>
    <n v="218623"/>
    <x v="65"/>
    <x v="3"/>
    <x v="3"/>
    <x v="6"/>
  </r>
  <r>
    <x v="6"/>
    <x v="0"/>
    <n v="324108"/>
    <x v="35"/>
    <x v="3"/>
    <x v="3"/>
    <x v="6"/>
  </r>
  <r>
    <x v="6"/>
    <x v="0"/>
    <n v="205228"/>
    <x v="44"/>
    <x v="3"/>
    <x v="3"/>
    <x v="6"/>
  </r>
  <r>
    <x v="6"/>
    <x v="0"/>
    <n v="218616"/>
    <x v="86"/>
    <x v="3"/>
    <x v="3"/>
    <x v="6"/>
  </r>
  <r>
    <x v="6"/>
    <x v="0"/>
    <n v="161520"/>
    <x v="77"/>
    <x v="3"/>
    <x v="3"/>
    <x v="6"/>
  </r>
  <r>
    <x v="6"/>
    <x v="0"/>
    <n v="323608"/>
    <x v="31"/>
    <x v="3"/>
    <x v="3"/>
    <x v="6"/>
  </r>
  <r>
    <x v="6"/>
    <x v="0"/>
    <n v="301229"/>
    <x v="98"/>
    <x v="3"/>
    <x v="3"/>
    <x v="6"/>
  </r>
  <r>
    <x v="6"/>
    <x v="0"/>
    <n v="218402"/>
    <x v="101"/>
    <x v="3"/>
    <x v="3"/>
    <x v="6"/>
  </r>
  <r>
    <x v="6"/>
    <x v="0"/>
    <n v="205985"/>
    <x v="27"/>
    <x v="3"/>
    <x v="3"/>
    <x v="6"/>
  </r>
  <r>
    <x v="6"/>
    <x v="0"/>
    <n v="321932"/>
    <x v="23"/>
    <x v="3"/>
    <x v="3"/>
    <x v="6"/>
  </r>
  <r>
    <x v="6"/>
    <x v="0"/>
    <n v="301760"/>
    <x v="89"/>
    <x v="3"/>
    <x v="3"/>
    <x v="6"/>
  </r>
  <r>
    <x v="6"/>
    <x v="0"/>
    <n v="317470"/>
    <x v="10"/>
    <x v="3"/>
    <x v="3"/>
    <x v="6"/>
  </r>
  <r>
    <x v="6"/>
    <x v="0"/>
    <n v="218225"/>
    <x v="1"/>
    <x v="3"/>
    <x v="3"/>
    <x v="6"/>
  </r>
  <r>
    <x v="6"/>
    <x v="0"/>
    <n v="206298"/>
    <x v="14"/>
    <x v="3"/>
    <x v="3"/>
    <x v="6"/>
  </r>
  <r>
    <x v="6"/>
    <x v="0"/>
    <n v="160030"/>
    <x v="55"/>
    <x v="3"/>
    <x v="3"/>
    <x v="6"/>
  </r>
  <r>
    <x v="6"/>
    <x v="0"/>
    <n v="206348"/>
    <x v="4"/>
    <x v="3"/>
    <x v="3"/>
    <x v="6"/>
  </r>
  <r>
    <x v="6"/>
    <x v="0"/>
    <n v="316879"/>
    <x v="2"/>
    <x v="3"/>
    <x v="3"/>
    <x v="6"/>
  </r>
  <r>
    <x v="6"/>
    <x v="0"/>
    <n v="218210"/>
    <x v="69"/>
    <x v="3"/>
    <x v="3"/>
    <x v="6"/>
  </r>
  <r>
    <x v="6"/>
    <x v="0"/>
    <n v="217678"/>
    <x v="104"/>
    <x v="3"/>
    <x v="3"/>
    <x v="6"/>
  </r>
  <r>
    <x v="6"/>
    <x v="0"/>
    <n v="316646"/>
    <x v="6"/>
    <x v="3"/>
    <x v="3"/>
    <x v="6"/>
  </r>
  <r>
    <x v="6"/>
    <x v="0"/>
    <n v="206708"/>
    <x v="7"/>
    <x v="3"/>
    <x v="3"/>
    <x v="6"/>
  </r>
  <r>
    <x v="6"/>
    <x v="0"/>
    <n v="300571"/>
    <x v="18"/>
    <x v="3"/>
    <x v="3"/>
    <x v="6"/>
  </r>
  <r>
    <x v="6"/>
    <x v="0"/>
    <n v="301805"/>
    <x v="64"/>
    <x v="3"/>
    <x v="3"/>
    <x v="6"/>
  </r>
  <r>
    <x v="6"/>
    <x v="0"/>
    <n v="217081"/>
    <x v="13"/>
    <x v="3"/>
    <x v="3"/>
    <x v="6"/>
  </r>
  <r>
    <x v="6"/>
    <x v="0"/>
    <n v="206968"/>
    <x v="12"/>
    <x v="3"/>
    <x v="3"/>
    <x v="6"/>
  </r>
  <r>
    <x v="6"/>
    <x v="0"/>
    <n v="158311"/>
    <x v="60"/>
    <x v="3"/>
    <x v="3"/>
    <x v="6"/>
  </r>
  <r>
    <x v="6"/>
    <x v="0"/>
    <n v="314137"/>
    <x v="19"/>
    <x v="3"/>
    <x v="3"/>
    <x v="6"/>
  </r>
  <r>
    <x v="6"/>
    <x v="0"/>
    <n v="301809"/>
    <x v="95"/>
    <x v="3"/>
    <x v="3"/>
    <x v="6"/>
  </r>
  <r>
    <x v="6"/>
    <x v="0"/>
    <n v="118535"/>
    <x v="90"/>
    <x v="3"/>
    <x v="3"/>
    <x v="6"/>
  </r>
  <r>
    <x v="6"/>
    <x v="0"/>
    <n v="300711"/>
    <x v="74"/>
    <x v="3"/>
    <x v="3"/>
    <x v="6"/>
  </r>
  <r>
    <x v="6"/>
    <x v="0"/>
    <n v="216566"/>
    <x v="96"/>
    <x v="3"/>
    <x v="3"/>
    <x v="6"/>
  </r>
  <r>
    <x v="6"/>
    <x v="0"/>
    <n v="210001"/>
    <x v="36"/>
    <x v="3"/>
    <x v="3"/>
    <x v="6"/>
  </r>
  <r>
    <x v="6"/>
    <x v="0"/>
    <n v="301920"/>
    <x v="91"/>
    <x v="3"/>
    <x v="3"/>
    <x v="6"/>
  </r>
  <r>
    <x v="6"/>
    <x v="0"/>
    <n v="144649"/>
    <x v="102"/>
    <x v="3"/>
    <x v="3"/>
    <x v="6"/>
  </r>
  <r>
    <x v="6"/>
    <x v="0"/>
    <n v="312807"/>
    <x v="21"/>
    <x v="3"/>
    <x v="3"/>
    <x v="6"/>
  </r>
  <r>
    <x v="6"/>
    <x v="0"/>
    <n v="303221"/>
    <x v="38"/>
    <x v="3"/>
    <x v="3"/>
    <x v="6"/>
  </r>
  <r>
    <x v="6"/>
    <x v="0"/>
    <n v="300363"/>
    <x v="11"/>
    <x v="3"/>
    <x v="3"/>
    <x v="6"/>
  </r>
  <r>
    <x v="6"/>
    <x v="0"/>
    <n v="144154"/>
    <x v="93"/>
    <x v="3"/>
    <x v="3"/>
    <x v="6"/>
  </r>
  <r>
    <x v="6"/>
    <x v="0"/>
    <n v="303189"/>
    <x v="42"/>
    <x v="3"/>
    <x v="3"/>
    <x v="6"/>
  </r>
  <r>
    <x v="6"/>
    <x v="0"/>
    <n v="140302"/>
    <x v="100"/>
    <x v="3"/>
    <x v="3"/>
    <x v="6"/>
  </r>
  <r>
    <x v="6"/>
    <x v="0"/>
    <n v="2737"/>
    <x v="62"/>
    <x v="3"/>
    <x v="3"/>
    <x v="6"/>
  </r>
  <r>
    <x v="6"/>
    <x v="0"/>
    <n v="117501"/>
    <x v="84"/>
    <x v="3"/>
    <x v="3"/>
    <x v="6"/>
  </r>
  <r>
    <x v="6"/>
    <x v="0"/>
    <n v="312617"/>
    <x v="24"/>
    <x v="3"/>
    <x v="3"/>
    <x v="6"/>
  </r>
  <r>
    <x v="6"/>
    <x v="0"/>
    <n v="130744"/>
    <x v="97"/>
    <x v="3"/>
    <x v="3"/>
    <x v="6"/>
  </r>
  <r>
    <x v="6"/>
    <x v="0"/>
    <n v="302335"/>
    <x v="70"/>
    <x v="3"/>
    <x v="3"/>
    <x v="6"/>
  </r>
  <r>
    <x v="6"/>
    <x v="0"/>
    <n v="216476"/>
    <x v="94"/>
    <x v="3"/>
    <x v="3"/>
    <x v="6"/>
  </r>
  <r>
    <x v="6"/>
    <x v="0"/>
    <n v="208277"/>
    <x v="25"/>
    <x v="3"/>
    <x v="3"/>
    <x v="6"/>
  </r>
  <r>
    <x v="6"/>
    <x v="0"/>
    <n v="218698"/>
    <x v="48"/>
    <x v="3"/>
    <x v="3"/>
    <x v="6"/>
  </r>
  <r>
    <x v="6"/>
    <x v="0"/>
    <n v="301983"/>
    <x v="85"/>
    <x v="3"/>
    <x v="3"/>
    <x v="6"/>
  </r>
  <r>
    <x v="6"/>
    <x v="0"/>
    <n v="302988"/>
    <x v="45"/>
    <x v="3"/>
    <x v="3"/>
    <x v="6"/>
  </r>
  <r>
    <x v="6"/>
    <x v="0"/>
    <n v="312259"/>
    <x v="28"/>
    <x v="3"/>
    <x v="3"/>
    <x v="6"/>
  </r>
  <r>
    <x v="6"/>
    <x v="0"/>
    <n v="218732"/>
    <x v="29"/>
    <x v="3"/>
    <x v="3"/>
    <x v="6"/>
  </r>
  <r>
    <x v="6"/>
    <x v="0"/>
    <n v="117986"/>
    <x v="92"/>
    <x v="3"/>
    <x v="3"/>
    <x v="6"/>
  </r>
  <r>
    <x v="6"/>
    <x v="0"/>
    <n v="218916"/>
    <x v="17"/>
    <x v="3"/>
    <x v="3"/>
    <x v="6"/>
  </r>
  <r>
    <x v="6"/>
    <x v="0"/>
    <n v="210127"/>
    <x v="41"/>
    <x v="3"/>
    <x v="3"/>
    <x v="6"/>
  </r>
  <r>
    <x v="6"/>
    <x v="0"/>
    <n v="209208"/>
    <x v="30"/>
    <x v="3"/>
    <x v="3"/>
    <x v="6"/>
  </r>
  <r>
    <x v="6"/>
    <x v="0"/>
    <n v="211622"/>
    <x v="82"/>
    <x v="3"/>
    <x v="3"/>
    <x v="6"/>
  </r>
  <r>
    <x v="6"/>
    <x v="0"/>
    <n v="210515"/>
    <x v="43"/>
    <x v="3"/>
    <x v="3"/>
    <x v="6"/>
  </r>
  <r>
    <x v="6"/>
    <x v="0"/>
    <n v="117456"/>
    <x v="80"/>
    <x v="3"/>
    <x v="3"/>
    <x v="6"/>
  </r>
  <r>
    <x v="6"/>
    <x v="0"/>
    <n v="211415"/>
    <x v="50"/>
    <x v="3"/>
    <x v="3"/>
    <x v="6"/>
  </r>
  <r>
    <x v="6"/>
    <x v="0"/>
    <n v="117230"/>
    <x v="73"/>
    <x v="3"/>
    <x v="3"/>
    <x v="6"/>
  </r>
  <r>
    <x v="6"/>
    <x v="0"/>
    <n v="311895"/>
    <x v="34"/>
    <x v="3"/>
    <x v="3"/>
    <x v="6"/>
  </r>
  <r>
    <x v="6"/>
    <x v="0"/>
    <n v="209211"/>
    <x v="33"/>
    <x v="3"/>
    <x v="3"/>
    <x v="6"/>
  </r>
  <r>
    <x v="6"/>
    <x v="0"/>
    <n v="1733"/>
    <x v="37"/>
    <x v="3"/>
    <x v="3"/>
    <x v="6"/>
  </r>
  <r>
    <x v="6"/>
    <x v="0"/>
    <n v="302856"/>
    <x v="46"/>
    <x v="3"/>
    <x v="3"/>
    <x v="6"/>
  </r>
  <r>
    <x v="6"/>
    <x v="0"/>
    <n v="300169"/>
    <x v="5"/>
    <x v="3"/>
    <x v="3"/>
    <x v="6"/>
  </r>
  <r>
    <x v="6"/>
    <x v="0"/>
    <n v="686"/>
    <x v="26"/>
    <x v="3"/>
    <x v="3"/>
    <x v="6"/>
  </r>
  <r>
    <x v="7"/>
    <x v="0"/>
    <n v="218732"/>
    <x v="29"/>
    <x v="3"/>
    <x v="3"/>
    <x v="7"/>
  </r>
  <r>
    <x v="7"/>
    <x v="0"/>
    <n v="204952"/>
    <x v="56"/>
    <x v="3"/>
    <x v="3"/>
    <x v="7"/>
  </r>
  <r>
    <x v="7"/>
    <x v="0"/>
    <n v="324108"/>
    <x v="35"/>
    <x v="3"/>
    <x v="3"/>
    <x v="7"/>
  </r>
  <r>
    <x v="7"/>
    <x v="0"/>
    <n v="218916"/>
    <x v="17"/>
    <x v="3"/>
    <x v="3"/>
    <x v="7"/>
  </r>
  <r>
    <x v="7"/>
    <x v="0"/>
    <n v="217081"/>
    <x v="13"/>
    <x v="3"/>
    <x v="3"/>
    <x v="7"/>
  </r>
  <r>
    <x v="7"/>
    <x v="0"/>
    <n v="314137"/>
    <x v="19"/>
    <x v="3"/>
    <x v="3"/>
    <x v="7"/>
  </r>
  <r>
    <x v="7"/>
    <x v="0"/>
    <n v="323608"/>
    <x v="31"/>
    <x v="3"/>
    <x v="3"/>
    <x v="7"/>
  </r>
  <r>
    <x v="7"/>
    <x v="0"/>
    <n v="216476"/>
    <x v="94"/>
    <x v="3"/>
    <x v="3"/>
    <x v="7"/>
  </r>
  <r>
    <x v="7"/>
    <x v="0"/>
    <n v="321932"/>
    <x v="23"/>
    <x v="3"/>
    <x v="3"/>
    <x v="7"/>
  </r>
  <r>
    <x v="7"/>
    <x v="0"/>
    <n v="169537"/>
    <x v="81"/>
    <x v="3"/>
    <x v="3"/>
    <x v="7"/>
  </r>
  <r>
    <x v="7"/>
    <x v="0"/>
    <n v="144649"/>
    <x v="102"/>
    <x v="3"/>
    <x v="3"/>
    <x v="7"/>
  </r>
  <r>
    <x v="7"/>
    <x v="0"/>
    <n v="317470"/>
    <x v="10"/>
    <x v="3"/>
    <x v="3"/>
    <x v="7"/>
  </r>
  <r>
    <x v="7"/>
    <x v="0"/>
    <n v="205985"/>
    <x v="27"/>
    <x v="3"/>
    <x v="3"/>
    <x v="7"/>
  </r>
  <r>
    <x v="7"/>
    <x v="0"/>
    <n v="302988"/>
    <x v="45"/>
    <x v="3"/>
    <x v="3"/>
    <x v="7"/>
  </r>
  <r>
    <x v="7"/>
    <x v="0"/>
    <n v="301983"/>
    <x v="85"/>
    <x v="3"/>
    <x v="3"/>
    <x v="7"/>
  </r>
  <r>
    <x v="7"/>
    <x v="0"/>
    <n v="218402"/>
    <x v="101"/>
    <x v="3"/>
    <x v="3"/>
    <x v="7"/>
  </r>
  <r>
    <x v="7"/>
    <x v="0"/>
    <n v="218698"/>
    <x v="48"/>
    <x v="3"/>
    <x v="3"/>
    <x v="7"/>
  </r>
  <r>
    <x v="7"/>
    <x v="0"/>
    <n v="316879"/>
    <x v="2"/>
    <x v="3"/>
    <x v="3"/>
    <x v="7"/>
  </r>
  <r>
    <x v="7"/>
    <x v="0"/>
    <n v="140302"/>
    <x v="100"/>
    <x v="3"/>
    <x v="3"/>
    <x v="7"/>
  </r>
  <r>
    <x v="7"/>
    <x v="0"/>
    <n v="302335"/>
    <x v="70"/>
    <x v="3"/>
    <x v="3"/>
    <x v="7"/>
  </r>
  <r>
    <x v="7"/>
    <x v="0"/>
    <n v="301229"/>
    <x v="98"/>
    <x v="3"/>
    <x v="3"/>
    <x v="7"/>
  </r>
  <r>
    <x v="7"/>
    <x v="0"/>
    <n v="316646"/>
    <x v="6"/>
    <x v="3"/>
    <x v="3"/>
    <x v="7"/>
  </r>
  <r>
    <x v="7"/>
    <x v="0"/>
    <n v="216566"/>
    <x v="96"/>
    <x v="3"/>
    <x v="3"/>
    <x v="7"/>
  </r>
  <r>
    <x v="7"/>
    <x v="0"/>
    <n v="204939"/>
    <x v="61"/>
    <x v="3"/>
    <x v="3"/>
    <x v="7"/>
  </r>
  <r>
    <x v="7"/>
    <x v="0"/>
    <n v="130744"/>
    <x v="97"/>
    <x v="3"/>
    <x v="3"/>
    <x v="7"/>
  </r>
  <r>
    <x v="7"/>
    <x v="0"/>
    <n v="117501"/>
    <x v="84"/>
    <x v="3"/>
    <x v="3"/>
    <x v="7"/>
  </r>
  <r>
    <x v="7"/>
    <x v="0"/>
    <n v="2737"/>
    <x v="62"/>
    <x v="3"/>
    <x v="3"/>
    <x v="7"/>
  </r>
  <r>
    <x v="7"/>
    <x v="0"/>
    <n v="303189"/>
    <x v="42"/>
    <x v="3"/>
    <x v="3"/>
    <x v="7"/>
  </r>
  <r>
    <x v="7"/>
    <x v="0"/>
    <n v="301809"/>
    <x v="95"/>
    <x v="3"/>
    <x v="3"/>
    <x v="7"/>
  </r>
  <r>
    <x v="7"/>
    <x v="0"/>
    <n v="144154"/>
    <x v="93"/>
    <x v="3"/>
    <x v="3"/>
    <x v="7"/>
  </r>
  <r>
    <x v="7"/>
    <x v="0"/>
    <n v="300363"/>
    <x v="11"/>
    <x v="3"/>
    <x v="3"/>
    <x v="7"/>
  </r>
  <r>
    <x v="7"/>
    <x v="0"/>
    <n v="210001"/>
    <x v="36"/>
    <x v="3"/>
    <x v="3"/>
    <x v="7"/>
  </r>
  <r>
    <x v="7"/>
    <x v="0"/>
    <n v="312807"/>
    <x v="21"/>
    <x v="3"/>
    <x v="3"/>
    <x v="7"/>
  </r>
  <r>
    <x v="7"/>
    <x v="0"/>
    <n v="303221"/>
    <x v="38"/>
    <x v="3"/>
    <x v="3"/>
    <x v="7"/>
  </r>
  <r>
    <x v="7"/>
    <x v="0"/>
    <n v="301920"/>
    <x v="91"/>
    <x v="3"/>
    <x v="3"/>
    <x v="7"/>
  </r>
  <r>
    <x v="7"/>
    <x v="0"/>
    <n v="312617"/>
    <x v="24"/>
    <x v="3"/>
    <x v="3"/>
    <x v="7"/>
  </r>
  <r>
    <x v="7"/>
    <x v="0"/>
    <n v="118535"/>
    <x v="90"/>
    <x v="3"/>
    <x v="3"/>
    <x v="7"/>
  </r>
  <r>
    <x v="7"/>
    <x v="0"/>
    <n v="301760"/>
    <x v="89"/>
    <x v="3"/>
    <x v="3"/>
    <x v="7"/>
  </r>
  <r>
    <x v="7"/>
    <x v="0"/>
    <n v="300711"/>
    <x v="74"/>
    <x v="3"/>
    <x v="3"/>
    <x v="7"/>
  </r>
  <r>
    <x v="7"/>
    <x v="0"/>
    <n v="209211"/>
    <x v="33"/>
    <x v="3"/>
    <x v="3"/>
    <x v="7"/>
  </r>
  <r>
    <x v="7"/>
    <x v="0"/>
    <n v="312259"/>
    <x v="28"/>
    <x v="3"/>
    <x v="3"/>
    <x v="7"/>
  </r>
  <r>
    <x v="7"/>
    <x v="0"/>
    <n v="218616"/>
    <x v="86"/>
    <x v="3"/>
    <x v="3"/>
    <x v="7"/>
  </r>
  <r>
    <x v="7"/>
    <x v="0"/>
    <n v="686"/>
    <x v="26"/>
    <x v="3"/>
    <x v="3"/>
    <x v="7"/>
  </r>
  <r>
    <x v="7"/>
    <x v="0"/>
    <n v="302856"/>
    <x v="46"/>
    <x v="3"/>
    <x v="3"/>
    <x v="7"/>
  </r>
  <r>
    <x v="7"/>
    <x v="0"/>
    <n v="209208"/>
    <x v="30"/>
    <x v="3"/>
    <x v="3"/>
    <x v="7"/>
  </r>
  <r>
    <x v="7"/>
    <x v="0"/>
    <n v="311895"/>
    <x v="34"/>
    <x v="3"/>
    <x v="3"/>
    <x v="7"/>
  </r>
  <r>
    <x v="7"/>
    <x v="0"/>
    <n v="169872"/>
    <x v="79"/>
    <x v="3"/>
    <x v="3"/>
    <x v="7"/>
  </r>
  <r>
    <x v="7"/>
    <x v="0"/>
    <n v="211622"/>
    <x v="82"/>
    <x v="3"/>
    <x v="3"/>
    <x v="7"/>
  </r>
  <r>
    <x v="7"/>
    <x v="0"/>
    <n v="208277"/>
    <x v="25"/>
    <x v="3"/>
    <x v="3"/>
    <x v="7"/>
  </r>
  <r>
    <x v="7"/>
    <x v="0"/>
    <n v="117230"/>
    <x v="73"/>
    <x v="3"/>
    <x v="3"/>
    <x v="7"/>
  </r>
  <r>
    <x v="7"/>
    <x v="0"/>
    <n v="300169"/>
    <x v="5"/>
    <x v="3"/>
    <x v="3"/>
    <x v="7"/>
  </r>
  <r>
    <x v="7"/>
    <x v="0"/>
    <n v="117456"/>
    <x v="80"/>
    <x v="3"/>
    <x v="3"/>
    <x v="7"/>
  </r>
  <r>
    <x v="7"/>
    <x v="0"/>
    <n v="161520"/>
    <x v="77"/>
    <x v="3"/>
    <x v="3"/>
    <x v="7"/>
  </r>
  <r>
    <x v="7"/>
    <x v="0"/>
    <n v="218225"/>
    <x v="1"/>
    <x v="3"/>
    <x v="3"/>
    <x v="7"/>
  </r>
  <r>
    <x v="7"/>
    <x v="0"/>
    <n v="215020"/>
    <x v="72"/>
    <x v="3"/>
    <x v="3"/>
    <x v="7"/>
  </r>
  <r>
    <x v="7"/>
    <x v="0"/>
    <n v="206708"/>
    <x v="7"/>
    <x v="3"/>
    <x v="3"/>
    <x v="7"/>
  </r>
  <r>
    <x v="7"/>
    <x v="0"/>
    <n v="300571"/>
    <x v="18"/>
    <x v="3"/>
    <x v="3"/>
    <x v="7"/>
  </r>
  <r>
    <x v="7"/>
    <x v="0"/>
    <n v="218210"/>
    <x v="69"/>
    <x v="3"/>
    <x v="3"/>
    <x v="7"/>
  </r>
  <r>
    <x v="7"/>
    <x v="0"/>
    <n v="300862"/>
    <x v="66"/>
    <x v="3"/>
    <x v="3"/>
    <x v="7"/>
  </r>
  <r>
    <x v="7"/>
    <x v="0"/>
    <n v="206348"/>
    <x v="4"/>
    <x v="3"/>
    <x v="3"/>
    <x v="7"/>
  </r>
  <r>
    <x v="7"/>
    <x v="0"/>
    <n v="218623"/>
    <x v="65"/>
    <x v="3"/>
    <x v="3"/>
    <x v="7"/>
  </r>
  <r>
    <x v="7"/>
    <x v="0"/>
    <n v="301805"/>
    <x v="64"/>
    <x v="3"/>
    <x v="3"/>
    <x v="7"/>
  </r>
  <r>
    <x v="7"/>
    <x v="0"/>
    <n v="211415"/>
    <x v="50"/>
    <x v="3"/>
    <x v="3"/>
    <x v="7"/>
  </r>
  <r>
    <x v="7"/>
    <x v="0"/>
    <n v="158311"/>
    <x v="60"/>
    <x v="3"/>
    <x v="3"/>
    <x v="7"/>
  </r>
  <r>
    <x v="7"/>
    <x v="0"/>
    <n v="206298"/>
    <x v="14"/>
    <x v="3"/>
    <x v="3"/>
    <x v="7"/>
  </r>
  <r>
    <x v="7"/>
    <x v="0"/>
    <n v="205228"/>
    <x v="44"/>
    <x v="3"/>
    <x v="3"/>
    <x v="7"/>
  </r>
  <r>
    <x v="7"/>
    <x v="0"/>
    <n v="160030"/>
    <x v="55"/>
    <x v="3"/>
    <x v="3"/>
    <x v="7"/>
  </r>
  <r>
    <x v="7"/>
    <x v="0"/>
    <n v="217678"/>
    <x v="104"/>
    <x v="3"/>
    <x v="3"/>
    <x v="7"/>
  </r>
  <r>
    <x v="7"/>
    <x v="0"/>
    <n v="210515"/>
    <x v="43"/>
    <x v="3"/>
    <x v="3"/>
    <x v="7"/>
  </r>
  <r>
    <x v="7"/>
    <x v="0"/>
    <n v="203631"/>
    <x v="71"/>
    <x v="3"/>
    <x v="3"/>
    <x v="7"/>
  </r>
  <r>
    <x v="7"/>
    <x v="0"/>
    <n v="206968"/>
    <x v="12"/>
    <x v="3"/>
    <x v="3"/>
    <x v="7"/>
  </r>
  <r>
    <x v="7"/>
    <x v="0"/>
    <n v="210127"/>
    <x v="41"/>
    <x v="3"/>
    <x v="3"/>
    <x v="7"/>
  </r>
  <r>
    <x v="7"/>
    <x v="0"/>
    <n v="1733"/>
    <x v="37"/>
    <x v="3"/>
    <x v="3"/>
    <x v="7"/>
  </r>
  <r>
    <x v="7"/>
    <x v="0"/>
    <n v="117986"/>
    <x v="92"/>
    <x v="3"/>
    <x v="3"/>
    <x v="7"/>
  </r>
  <r>
    <x v="8"/>
    <x v="0"/>
    <n v="158311"/>
    <x v="60"/>
    <x v="3"/>
    <x v="3"/>
    <x v="8"/>
  </r>
  <r>
    <x v="8"/>
    <x v="0"/>
    <n v="218732"/>
    <x v="29"/>
    <x v="3"/>
    <x v="3"/>
    <x v="8"/>
  </r>
  <r>
    <x v="8"/>
    <x v="0"/>
    <n v="312259"/>
    <x v="28"/>
    <x v="3"/>
    <x v="3"/>
    <x v="8"/>
  </r>
  <r>
    <x v="8"/>
    <x v="0"/>
    <n v="303221"/>
    <x v="38"/>
    <x v="3"/>
    <x v="3"/>
    <x v="8"/>
  </r>
  <r>
    <x v="8"/>
    <x v="0"/>
    <n v="312617"/>
    <x v="24"/>
    <x v="3"/>
    <x v="3"/>
    <x v="8"/>
  </r>
  <r>
    <x v="8"/>
    <x v="0"/>
    <n v="218698"/>
    <x v="48"/>
    <x v="3"/>
    <x v="3"/>
    <x v="8"/>
  </r>
  <r>
    <x v="8"/>
    <x v="0"/>
    <n v="303189"/>
    <x v="42"/>
    <x v="3"/>
    <x v="3"/>
    <x v="8"/>
  </r>
  <r>
    <x v="8"/>
    <x v="0"/>
    <n v="312807"/>
    <x v="21"/>
    <x v="3"/>
    <x v="3"/>
    <x v="8"/>
  </r>
  <r>
    <x v="8"/>
    <x v="0"/>
    <n v="314137"/>
    <x v="19"/>
    <x v="3"/>
    <x v="3"/>
    <x v="8"/>
  </r>
  <r>
    <x v="8"/>
    <x v="0"/>
    <n v="302988"/>
    <x v="45"/>
    <x v="3"/>
    <x v="3"/>
    <x v="8"/>
  </r>
  <r>
    <x v="8"/>
    <x v="0"/>
    <n v="316646"/>
    <x v="6"/>
    <x v="3"/>
    <x v="3"/>
    <x v="8"/>
  </r>
  <r>
    <x v="8"/>
    <x v="0"/>
    <n v="302856"/>
    <x v="46"/>
    <x v="3"/>
    <x v="3"/>
    <x v="8"/>
  </r>
  <r>
    <x v="8"/>
    <x v="0"/>
    <n v="218916"/>
    <x v="17"/>
    <x v="3"/>
    <x v="3"/>
    <x v="8"/>
  </r>
  <r>
    <x v="8"/>
    <x v="0"/>
    <n v="316879"/>
    <x v="2"/>
    <x v="3"/>
    <x v="3"/>
    <x v="8"/>
  </r>
  <r>
    <x v="8"/>
    <x v="0"/>
    <n v="317470"/>
    <x v="10"/>
    <x v="3"/>
    <x v="3"/>
    <x v="8"/>
  </r>
  <r>
    <x v="8"/>
    <x v="0"/>
    <n v="321932"/>
    <x v="23"/>
    <x v="3"/>
    <x v="3"/>
    <x v="8"/>
  </r>
  <r>
    <x v="8"/>
    <x v="0"/>
    <n v="324108"/>
    <x v="35"/>
    <x v="3"/>
    <x v="3"/>
    <x v="8"/>
  </r>
  <r>
    <x v="8"/>
    <x v="0"/>
    <n v="302335"/>
    <x v="70"/>
    <x v="3"/>
    <x v="3"/>
    <x v="8"/>
  </r>
  <r>
    <x v="8"/>
    <x v="0"/>
    <n v="205985"/>
    <x v="27"/>
    <x v="3"/>
    <x v="3"/>
    <x v="8"/>
  </r>
  <r>
    <x v="8"/>
    <x v="0"/>
    <n v="216476"/>
    <x v="94"/>
    <x v="3"/>
    <x v="3"/>
    <x v="8"/>
  </r>
  <r>
    <x v="8"/>
    <x v="0"/>
    <n v="301983"/>
    <x v="85"/>
    <x v="3"/>
    <x v="3"/>
    <x v="8"/>
  </r>
  <r>
    <x v="8"/>
    <x v="0"/>
    <n v="218623"/>
    <x v="65"/>
    <x v="3"/>
    <x v="3"/>
    <x v="8"/>
  </r>
  <r>
    <x v="8"/>
    <x v="0"/>
    <n v="144649"/>
    <x v="102"/>
    <x v="3"/>
    <x v="3"/>
    <x v="8"/>
  </r>
  <r>
    <x v="8"/>
    <x v="0"/>
    <n v="169537"/>
    <x v="81"/>
    <x v="3"/>
    <x v="3"/>
    <x v="8"/>
  </r>
  <r>
    <x v="8"/>
    <x v="0"/>
    <n v="218616"/>
    <x v="86"/>
    <x v="3"/>
    <x v="3"/>
    <x v="8"/>
  </r>
  <r>
    <x v="8"/>
    <x v="0"/>
    <n v="301920"/>
    <x v="91"/>
    <x v="3"/>
    <x v="3"/>
    <x v="8"/>
  </r>
  <r>
    <x v="8"/>
    <x v="0"/>
    <n v="218402"/>
    <x v="101"/>
    <x v="3"/>
    <x v="3"/>
    <x v="8"/>
  </r>
  <r>
    <x v="8"/>
    <x v="0"/>
    <n v="301809"/>
    <x v="95"/>
    <x v="3"/>
    <x v="3"/>
    <x v="8"/>
  </r>
  <r>
    <x v="8"/>
    <x v="0"/>
    <n v="218225"/>
    <x v="1"/>
    <x v="3"/>
    <x v="3"/>
    <x v="8"/>
  </r>
  <r>
    <x v="8"/>
    <x v="0"/>
    <n v="301805"/>
    <x v="64"/>
    <x v="3"/>
    <x v="3"/>
    <x v="8"/>
  </r>
  <r>
    <x v="8"/>
    <x v="0"/>
    <n v="218210"/>
    <x v="69"/>
    <x v="3"/>
    <x v="3"/>
    <x v="8"/>
  </r>
  <r>
    <x v="8"/>
    <x v="0"/>
    <n v="217081"/>
    <x v="13"/>
    <x v="3"/>
    <x v="3"/>
    <x v="8"/>
  </r>
  <r>
    <x v="8"/>
    <x v="0"/>
    <n v="217678"/>
    <x v="104"/>
    <x v="3"/>
    <x v="3"/>
    <x v="8"/>
  </r>
  <r>
    <x v="8"/>
    <x v="0"/>
    <n v="301760"/>
    <x v="89"/>
    <x v="3"/>
    <x v="3"/>
    <x v="8"/>
  </r>
  <r>
    <x v="8"/>
    <x v="0"/>
    <n v="204952"/>
    <x v="56"/>
    <x v="3"/>
    <x v="3"/>
    <x v="8"/>
  </r>
  <r>
    <x v="8"/>
    <x v="0"/>
    <n v="210127"/>
    <x v="41"/>
    <x v="3"/>
    <x v="3"/>
    <x v="8"/>
  </r>
  <r>
    <x v="8"/>
    <x v="0"/>
    <n v="686"/>
    <x v="26"/>
    <x v="3"/>
    <x v="3"/>
    <x v="8"/>
  </r>
  <r>
    <x v="8"/>
    <x v="0"/>
    <n v="216566"/>
    <x v="96"/>
    <x v="3"/>
    <x v="3"/>
    <x v="8"/>
  </r>
  <r>
    <x v="8"/>
    <x v="0"/>
    <n v="1733"/>
    <x v="37"/>
    <x v="3"/>
    <x v="3"/>
    <x v="8"/>
  </r>
  <r>
    <x v="8"/>
    <x v="0"/>
    <n v="206968"/>
    <x v="12"/>
    <x v="3"/>
    <x v="3"/>
    <x v="8"/>
  </r>
  <r>
    <x v="8"/>
    <x v="0"/>
    <n v="215020"/>
    <x v="72"/>
    <x v="3"/>
    <x v="3"/>
    <x v="8"/>
  </r>
  <r>
    <x v="8"/>
    <x v="0"/>
    <n v="203631"/>
    <x v="71"/>
    <x v="3"/>
    <x v="3"/>
    <x v="8"/>
  </r>
  <r>
    <x v="8"/>
    <x v="0"/>
    <n v="210515"/>
    <x v="43"/>
    <x v="3"/>
    <x v="3"/>
    <x v="8"/>
  </r>
  <r>
    <x v="8"/>
    <x v="0"/>
    <n v="2737"/>
    <x v="62"/>
    <x v="3"/>
    <x v="3"/>
    <x v="8"/>
  </r>
  <r>
    <x v="8"/>
    <x v="0"/>
    <n v="211622"/>
    <x v="82"/>
    <x v="3"/>
    <x v="3"/>
    <x v="8"/>
  </r>
  <r>
    <x v="8"/>
    <x v="0"/>
    <n v="160030"/>
    <x v="55"/>
    <x v="3"/>
    <x v="3"/>
    <x v="8"/>
  </r>
  <r>
    <x v="8"/>
    <x v="0"/>
    <n v="117230"/>
    <x v="73"/>
    <x v="3"/>
    <x v="3"/>
    <x v="8"/>
  </r>
  <r>
    <x v="8"/>
    <x v="0"/>
    <n v="205228"/>
    <x v="44"/>
    <x v="3"/>
    <x v="3"/>
    <x v="8"/>
  </r>
  <r>
    <x v="8"/>
    <x v="0"/>
    <n v="206298"/>
    <x v="14"/>
    <x v="3"/>
    <x v="3"/>
    <x v="8"/>
  </r>
  <r>
    <x v="8"/>
    <x v="0"/>
    <n v="211415"/>
    <x v="50"/>
    <x v="3"/>
    <x v="3"/>
    <x v="8"/>
  </r>
  <r>
    <x v="8"/>
    <x v="0"/>
    <n v="117456"/>
    <x v="80"/>
    <x v="3"/>
    <x v="3"/>
    <x v="8"/>
  </r>
  <r>
    <x v="8"/>
    <x v="0"/>
    <n v="311895"/>
    <x v="34"/>
    <x v="3"/>
    <x v="3"/>
    <x v="8"/>
  </r>
  <r>
    <x v="8"/>
    <x v="0"/>
    <n v="117501"/>
    <x v="84"/>
    <x v="3"/>
    <x v="3"/>
    <x v="8"/>
  </r>
  <r>
    <x v="8"/>
    <x v="0"/>
    <n v="301229"/>
    <x v="98"/>
    <x v="3"/>
    <x v="3"/>
    <x v="8"/>
  </r>
  <r>
    <x v="8"/>
    <x v="0"/>
    <n v="206348"/>
    <x v="4"/>
    <x v="3"/>
    <x v="3"/>
    <x v="8"/>
  </r>
  <r>
    <x v="8"/>
    <x v="0"/>
    <n v="300862"/>
    <x v="66"/>
    <x v="3"/>
    <x v="3"/>
    <x v="8"/>
  </r>
  <r>
    <x v="8"/>
    <x v="0"/>
    <n v="117986"/>
    <x v="92"/>
    <x v="3"/>
    <x v="3"/>
    <x v="8"/>
  </r>
  <r>
    <x v="8"/>
    <x v="0"/>
    <n v="206708"/>
    <x v="7"/>
    <x v="3"/>
    <x v="3"/>
    <x v="8"/>
  </r>
  <r>
    <x v="8"/>
    <x v="0"/>
    <n v="210001"/>
    <x v="36"/>
    <x v="3"/>
    <x v="3"/>
    <x v="8"/>
  </r>
  <r>
    <x v="8"/>
    <x v="0"/>
    <n v="300571"/>
    <x v="18"/>
    <x v="3"/>
    <x v="3"/>
    <x v="8"/>
  </r>
  <r>
    <x v="8"/>
    <x v="0"/>
    <n v="300169"/>
    <x v="5"/>
    <x v="3"/>
    <x v="3"/>
    <x v="8"/>
  </r>
  <r>
    <x v="8"/>
    <x v="0"/>
    <n v="209211"/>
    <x v="33"/>
    <x v="3"/>
    <x v="3"/>
    <x v="8"/>
  </r>
  <r>
    <x v="8"/>
    <x v="0"/>
    <n v="118535"/>
    <x v="90"/>
    <x v="3"/>
    <x v="3"/>
    <x v="8"/>
  </r>
  <r>
    <x v="8"/>
    <x v="0"/>
    <n v="161520"/>
    <x v="77"/>
    <x v="3"/>
    <x v="3"/>
    <x v="8"/>
  </r>
  <r>
    <x v="8"/>
    <x v="0"/>
    <n v="209208"/>
    <x v="30"/>
    <x v="3"/>
    <x v="3"/>
    <x v="8"/>
  </r>
  <r>
    <x v="8"/>
    <x v="0"/>
    <n v="208277"/>
    <x v="25"/>
    <x v="3"/>
    <x v="3"/>
    <x v="8"/>
  </r>
  <r>
    <x v="8"/>
    <x v="0"/>
    <n v="169872"/>
    <x v="79"/>
    <x v="3"/>
    <x v="3"/>
    <x v="8"/>
  </r>
  <r>
    <x v="8"/>
    <x v="0"/>
    <n v="130744"/>
    <x v="97"/>
    <x v="3"/>
    <x v="3"/>
    <x v="8"/>
  </r>
  <r>
    <x v="8"/>
    <x v="0"/>
    <n v="140302"/>
    <x v="100"/>
    <x v="3"/>
    <x v="3"/>
    <x v="8"/>
  </r>
  <r>
    <x v="8"/>
    <x v="0"/>
    <n v="144154"/>
    <x v="93"/>
    <x v="3"/>
    <x v="3"/>
    <x v="8"/>
  </r>
  <r>
    <x v="8"/>
    <x v="0"/>
    <n v="323608"/>
    <x v="31"/>
    <x v="3"/>
    <x v="3"/>
    <x v="8"/>
  </r>
  <r>
    <x v="8"/>
    <x v="0"/>
    <n v="300711"/>
    <x v="74"/>
    <x v="3"/>
    <x v="3"/>
    <x v="8"/>
  </r>
  <r>
    <x v="8"/>
    <x v="0"/>
    <n v="300363"/>
    <x v="11"/>
    <x v="3"/>
    <x v="3"/>
    <x v="8"/>
  </r>
  <r>
    <x v="8"/>
    <x v="0"/>
    <n v="204939"/>
    <x v="61"/>
    <x v="3"/>
    <x v="3"/>
    <x v="8"/>
  </r>
  <r>
    <x v="9"/>
    <x v="0"/>
    <n v="300571"/>
    <x v="18"/>
    <x v="3"/>
    <x v="3"/>
    <x v="9"/>
  </r>
  <r>
    <x v="9"/>
    <x v="0"/>
    <n v="204939"/>
    <x v="61"/>
    <x v="3"/>
    <x v="3"/>
    <x v="9"/>
  </r>
  <r>
    <x v="9"/>
    <x v="0"/>
    <n v="204952"/>
    <x v="56"/>
    <x v="3"/>
    <x v="3"/>
    <x v="9"/>
  </r>
  <r>
    <x v="9"/>
    <x v="0"/>
    <n v="300363"/>
    <x v="11"/>
    <x v="3"/>
    <x v="3"/>
    <x v="9"/>
  </r>
  <r>
    <x v="9"/>
    <x v="0"/>
    <n v="203631"/>
    <x v="71"/>
    <x v="3"/>
    <x v="3"/>
    <x v="9"/>
  </r>
  <r>
    <x v="9"/>
    <x v="0"/>
    <n v="205228"/>
    <x v="44"/>
    <x v="3"/>
    <x v="3"/>
    <x v="9"/>
  </r>
  <r>
    <x v="9"/>
    <x v="0"/>
    <n v="169872"/>
    <x v="79"/>
    <x v="3"/>
    <x v="3"/>
    <x v="9"/>
  </r>
  <r>
    <x v="9"/>
    <x v="0"/>
    <n v="210127"/>
    <x v="41"/>
    <x v="3"/>
    <x v="3"/>
    <x v="9"/>
  </r>
  <r>
    <x v="9"/>
    <x v="0"/>
    <n v="169537"/>
    <x v="81"/>
    <x v="3"/>
    <x v="3"/>
    <x v="9"/>
  </r>
  <r>
    <x v="9"/>
    <x v="0"/>
    <n v="205985"/>
    <x v="27"/>
    <x v="3"/>
    <x v="3"/>
    <x v="9"/>
  </r>
  <r>
    <x v="9"/>
    <x v="0"/>
    <n v="312259"/>
    <x v="28"/>
    <x v="3"/>
    <x v="3"/>
    <x v="9"/>
  </r>
  <r>
    <x v="9"/>
    <x v="0"/>
    <n v="161520"/>
    <x v="77"/>
    <x v="3"/>
    <x v="3"/>
    <x v="9"/>
  </r>
  <r>
    <x v="9"/>
    <x v="0"/>
    <n v="206968"/>
    <x v="12"/>
    <x v="3"/>
    <x v="3"/>
    <x v="9"/>
  </r>
  <r>
    <x v="9"/>
    <x v="0"/>
    <n v="218732"/>
    <x v="29"/>
    <x v="3"/>
    <x v="3"/>
    <x v="9"/>
  </r>
  <r>
    <x v="9"/>
    <x v="0"/>
    <n v="321932"/>
    <x v="23"/>
    <x v="3"/>
    <x v="3"/>
    <x v="9"/>
  </r>
  <r>
    <x v="9"/>
    <x v="0"/>
    <n v="206298"/>
    <x v="14"/>
    <x v="3"/>
    <x v="3"/>
    <x v="9"/>
  </r>
  <r>
    <x v="9"/>
    <x v="0"/>
    <n v="160030"/>
    <x v="55"/>
    <x v="3"/>
    <x v="3"/>
    <x v="9"/>
  </r>
  <r>
    <x v="9"/>
    <x v="0"/>
    <n v="206348"/>
    <x v="4"/>
    <x v="3"/>
    <x v="3"/>
    <x v="9"/>
  </r>
  <r>
    <x v="9"/>
    <x v="0"/>
    <n v="210515"/>
    <x v="43"/>
    <x v="3"/>
    <x v="3"/>
    <x v="9"/>
  </r>
  <r>
    <x v="9"/>
    <x v="0"/>
    <n v="217678"/>
    <x v="104"/>
    <x v="3"/>
    <x v="3"/>
    <x v="9"/>
  </r>
  <r>
    <x v="9"/>
    <x v="0"/>
    <n v="158311"/>
    <x v="60"/>
    <x v="3"/>
    <x v="3"/>
    <x v="9"/>
  </r>
  <r>
    <x v="9"/>
    <x v="0"/>
    <n v="300711"/>
    <x v="74"/>
    <x v="3"/>
    <x v="3"/>
    <x v="9"/>
  </r>
  <r>
    <x v="9"/>
    <x v="0"/>
    <n v="206708"/>
    <x v="7"/>
    <x v="3"/>
    <x v="3"/>
    <x v="9"/>
  </r>
  <r>
    <x v="9"/>
    <x v="0"/>
    <n v="144649"/>
    <x v="102"/>
    <x v="3"/>
    <x v="3"/>
    <x v="9"/>
  </r>
  <r>
    <x v="9"/>
    <x v="0"/>
    <n v="144154"/>
    <x v="93"/>
    <x v="3"/>
    <x v="3"/>
    <x v="9"/>
  </r>
  <r>
    <x v="9"/>
    <x v="0"/>
    <n v="211415"/>
    <x v="50"/>
    <x v="3"/>
    <x v="3"/>
    <x v="9"/>
  </r>
  <r>
    <x v="9"/>
    <x v="0"/>
    <n v="218623"/>
    <x v="65"/>
    <x v="3"/>
    <x v="3"/>
    <x v="9"/>
  </r>
  <r>
    <x v="9"/>
    <x v="0"/>
    <n v="140302"/>
    <x v="100"/>
    <x v="3"/>
    <x v="3"/>
    <x v="9"/>
  </r>
  <r>
    <x v="9"/>
    <x v="0"/>
    <n v="301805"/>
    <x v="64"/>
    <x v="3"/>
    <x v="3"/>
    <x v="9"/>
  </r>
  <r>
    <x v="9"/>
    <x v="0"/>
    <n v="300862"/>
    <x v="66"/>
    <x v="3"/>
    <x v="3"/>
    <x v="9"/>
  </r>
  <r>
    <x v="9"/>
    <x v="0"/>
    <n v="300169"/>
    <x v="5"/>
    <x v="3"/>
    <x v="3"/>
    <x v="9"/>
  </r>
  <r>
    <x v="9"/>
    <x v="0"/>
    <n v="130744"/>
    <x v="97"/>
    <x v="3"/>
    <x v="3"/>
    <x v="9"/>
  </r>
  <r>
    <x v="9"/>
    <x v="0"/>
    <n v="208277"/>
    <x v="25"/>
    <x v="3"/>
    <x v="3"/>
    <x v="9"/>
  </r>
  <r>
    <x v="9"/>
    <x v="0"/>
    <n v="218210"/>
    <x v="69"/>
    <x v="3"/>
    <x v="3"/>
    <x v="9"/>
  </r>
  <r>
    <x v="9"/>
    <x v="0"/>
    <n v="215020"/>
    <x v="72"/>
    <x v="3"/>
    <x v="3"/>
    <x v="9"/>
  </r>
  <r>
    <x v="9"/>
    <x v="0"/>
    <n v="218225"/>
    <x v="1"/>
    <x v="3"/>
    <x v="3"/>
    <x v="9"/>
  </r>
  <r>
    <x v="9"/>
    <x v="0"/>
    <n v="209208"/>
    <x v="30"/>
    <x v="3"/>
    <x v="3"/>
    <x v="9"/>
  </r>
  <r>
    <x v="9"/>
    <x v="0"/>
    <n v="117456"/>
    <x v="80"/>
    <x v="3"/>
    <x v="3"/>
    <x v="9"/>
  </r>
  <r>
    <x v="9"/>
    <x v="0"/>
    <n v="118535"/>
    <x v="90"/>
    <x v="3"/>
    <x v="3"/>
    <x v="9"/>
  </r>
  <r>
    <x v="9"/>
    <x v="0"/>
    <n v="209211"/>
    <x v="33"/>
    <x v="3"/>
    <x v="3"/>
    <x v="9"/>
  </r>
  <r>
    <x v="9"/>
    <x v="0"/>
    <n v="117986"/>
    <x v="92"/>
    <x v="3"/>
    <x v="3"/>
    <x v="9"/>
  </r>
  <r>
    <x v="9"/>
    <x v="0"/>
    <n v="210001"/>
    <x v="36"/>
    <x v="3"/>
    <x v="3"/>
    <x v="9"/>
  </r>
  <r>
    <x v="9"/>
    <x v="0"/>
    <n v="316646"/>
    <x v="6"/>
    <x v="3"/>
    <x v="3"/>
    <x v="9"/>
  </r>
  <r>
    <x v="9"/>
    <x v="0"/>
    <n v="117230"/>
    <x v="73"/>
    <x v="3"/>
    <x v="3"/>
    <x v="9"/>
  </r>
  <r>
    <x v="9"/>
    <x v="0"/>
    <n v="211622"/>
    <x v="82"/>
    <x v="3"/>
    <x v="3"/>
    <x v="9"/>
  </r>
  <r>
    <x v="9"/>
    <x v="0"/>
    <n v="311895"/>
    <x v="34"/>
    <x v="3"/>
    <x v="3"/>
    <x v="9"/>
  </r>
  <r>
    <x v="9"/>
    <x v="0"/>
    <n v="686"/>
    <x v="26"/>
    <x v="3"/>
    <x v="3"/>
    <x v="9"/>
  </r>
  <r>
    <x v="9"/>
    <x v="0"/>
    <n v="301229"/>
    <x v="98"/>
    <x v="3"/>
    <x v="3"/>
    <x v="9"/>
  </r>
  <r>
    <x v="9"/>
    <x v="0"/>
    <n v="302856"/>
    <x v="46"/>
    <x v="3"/>
    <x v="3"/>
    <x v="9"/>
  </r>
  <r>
    <x v="9"/>
    <x v="0"/>
    <n v="218616"/>
    <x v="86"/>
    <x v="3"/>
    <x v="3"/>
    <x v="9"/>
  </r>
  <r>
    <x v="9"/>
    <x v="0"/>
    <n v="323608"/>
    <x v="31"/>
    <x v="3"/>
    <x v="3"/>
    <x v="9"/>
  </r>
  <r>
    <x v="9"/>
    <x v="0"/>
    <n v="312617"/>
    <x v="24"/>
    <x v="3"/>
    <x v="3"/>
    <x v="9"/>
  </r>
  <r>
    <x v="9"/>
    <x v="0"/>
    <n v="316879"/>
    <x v="2"/>
    <x v="3"/>
    <x v="3"/>
    <x v="9"/>
  </r>
  <r>
    <x v="9"/>
    <x v="0"/>
    <n v="2737"/>
    <x v="62"/>
    <x v="3"/>
    <x v="3"/>
    <x v="9"/>
  </r>
  <r>
    <x v="9"/>
    <x v="0"/>
    <n v="301760"/>
    <x v="89"/>
    <x v="3"/>
    <x v="3"/>
    <x v="9"/>
  </r>
  <r>
    <x v="9"/>
    <x v="0"/>
    <n v="301920"/>
    <x v="91"/>
    <x v="3"/>
    <x v="3"/>
    <x v="9"/>
  </r>
  <r>
    <x v="9"/>
    <x v="0"/>
    <n v="1733"/>
    <x v="37"/>
    <x v="3"/>
    <x v="3"/>
    <x v="9"/>
  </r>
  <r>
    <x v="9"/>
    <x v="0"/>
    <n v="303221"/>
    <x v="38"/>
    <x v="3"/>
    <x v="3"/>
    <x v="9"/>
  </r>
  <r>
    <x v="9"/>
    <x v="0"/>
    <n v="312807"/>
    <x v="21"/>
    <x v="3"/>
    <x v="3"/>
    <x v="9"/>
  </r>
  <r>
    <x v="9"/>
    <x v="0"/>
    <n v="216476"/>
    <x v="94"/>
    <x v="3"/>
    <x v="3"/>
    <x v="9"/>
  </r>
  <r>
    <x v="9"/>
    <x v="0"/>
    <n v="301809"/>
    <x v="95"/>
    <x v="3"/>
    <x v="3"/>
    <x v="9"/>
  </r>
  <r>
    <x v="9"/>
    <x v="0"/>
    <n v="216566"/>
    <x v="96"/>
    <x v="3"/>
    <x v="3"/>
    <x v="9"/>
  </r>
  <r>
    <x v="9"/>
    <x v="0"/>
    <n v="303189"/>
    <x v="42"/>
    <x v="3"/>
    <x v="3"/>
    <x v="9"/>
  </r>
  <r>
    <x v="9"/>
    <x v="0"/>
    <n v="217081"/>
    <x v="13"/>
    <x v="3"/>
    <x v="3"/>
    <x v="9"/>
  </r>
  <r>
    <x v="9"/>
    <x v="0"/>
    <n v="317470"/>
    <x v="10"/>
    <x v="3"/>
    <x v="3"/>
    <x v="9"/>
  </r>
  <r>
    <x v="9"/>
    <x v="0"/>
    <n v="117501"/>
    <x v="84"/>
    <x v="3"/>
    <x v="3"/>
    <x v="9"/>
  </r>
  <r>
    <x v="9"/>
    <x v="0"/>
    <n v="302335"/>
    <x v="70"/>
    <x v="3"/>
    <x v="3"/>
    <x v="9"/>
  </r>
  <r>
    <x v="9"/>
    <x v="0"/>
    <n v="218402"/>
    <x v="101"/>
    <x v="3"/>
    <x v="3"/>
    <x v="9"/>
  </r>
  <r>
    <x v="9"/>
    <x v="0"/>
    <n v="218698"/>
    <x v="48"/>
    <x v="3"/>
    <x v="3"/>
    <x v="9"/>
  </r>
  <r>
    <x v="9"/>
    <x v="0"/>
    <n v="301983"/>
    <x v="85"/>
    <x v="3"/>
    <x v="3"/>
    <x v="9"/>
  </r>
  <r>
    <x v="9"/>
    <x v="0"/>
    <n v="302988"/>
    <x v="45"/>
    <x v="3"/>
    <x v="3"/>
    <x v="9"/>
  </r>
  <r>
    <x v="9"/>
    <x v="0"/>
    <n v="324108"/>
    <x v="35"/>
    <x v="3"/>
    <x v="3"/>
    <x v="9"/>
  </r>
  <r>
    <x v="9"/>
    <x v="0"/>
    <n v="218916"/>
    <x v="17"/>
    <x v="3"/>
    <x v="3"/>
    <x v="9"/>
  </r>
  <r>
    <x v="9"/>
    <x v="0"/>
    <n v="314137"/>
    <x v="19"/>
    <x v="3"/>
    <x v="3"/>
    <x v="9"/>
  </r>
  <r>
    <x v="10"/>
    <x v="0"/>
    <n v="117456"/>
    <x v="80"/>
    <x v="3"/>
    <x v="3"/>
    <x v="10"/>
  </r>
  <r>
    <x v="10"/>
    <x v="0"/>
    <n v="300169"/>
    <x v="5"/>
    <x v="3"/>
    <x v="3"/>
    <x v="10"/>
  </r>
  <r>
    <x v="10"/>
    <x v="0"/>
    <n v="316646"/>
    <x v="6"/>
    <x v="3"/>
    <x v="3"/>
    <x v="10"/>
  </r>
  <r>
    <x v="10"/>
    <x v="0"/>
    <n v="311895"/>
    <x v="34"/>
    <x v="3"/>
    <x v="3"/>
    <x v="10"/>
  </r>
  <r>
    <x v="10"/>
    <x v="0"/>
    <n v="117230"/>
    <x v="73"/>
    <x v="3"/>
    <x v="3"/>
    <x v="10"/>
  </r>
  <r>
    <x v="10"/>
    <x v="0"/>
    <n v="303221"/>
    <x v="38"/>
    <x v="3"/>
    <x v="3"/>
    <x v="10"/>
  </r>
  <r>
    <x v="10"/>
    <x v="0"/>
    <n v="312259"/>
    <x v="28"/>
    <x v="3"/>
    <x v="3"/>
    <x v="10"/>
  </r>
  <r>
    <x v="10"/>
    <x v="0"/>
    <n v="161520"/>
    <x v="77"/>
    <x v="3"/>
    <x v="3"/>
    <x v="10"/>
  </r>
  <r>
    <x v="10"/>
    <x v="0"/>
    <n v="312617"/>
    <x v="24"/>
    <x v="3"/>
    <x v="3"/>
    <x v="10"/>
  </r>
  <r>
    <x v="10"/>
    <x v="0"/>
    <n v="218225"/>
    <x v="1"/>
    <x v="3"/>
    <x v="3"/>
    <x v="10"/>
  </r>
  <r>
    <x v="10"/>
    <x v="0"/>
    <n v="303189"/>
    <x v="42"/>
    <x v="3"/>
    <x v="3"/>
    <x v="10"/>
  </r>
  <r>
    <x v="10"/>
    <x v="0"/>
    <n v="215020"/>
    <x v="72"/>
    <x v="3"/>
    <x v="3"/>
    <x v="10"/>
  </r>
  <r>
    <x v="10"/>
    <x v="0"/>
    <n v="300571"/>
    <x v="18"/>
    <x v="3"/>
    <x v="3"/>
    <x v="10"/>
  </r>
  <r>
    <x v="10"/>
    <x v="0"/>
    <n v="312807"/>
    <x v="21"/>
    <x v="3"/>
    <x v="3"/>
    <x v="10"/>
  </r>
  <r>
    <x v="10"/>
    <x v="0"/>
    <n v="206708"/>
    <x v="7"/>
    <x v="3"/>
    <x v="3"/>
    <x v="10"/>
  </r>
  <r>
    <x v="10"/>
    <x v="0"/>
    <n v="218210"/>
    <x v="69"/>
    <x v="3"/>
    <x v="3"/>
    <x v="10"/>
  </r>
  <r>
    <x v="10"/>
    <x v="0"/>
    <n v="302988"/>
    <x v="45"/>
    <x v="3"/>
    <x v="3"/>
    <x v="10"/>
  </r>
  <r>
    <x v="10"/>
    <x v="0"/>
    <n v="314137"/>
    <x v="19"/>
    <x v="3"/>
    <x v="3"/>
    <x v="10"/>
  </r>
  <r>
    <x v="10"/>
    <x v="0"/>
    <n v="300862"/>
    <x v="66"/>
    <x v="3"/>
    <x v="3"/>
    <x v="10"/>
  </r>
  <r>
    <x v="10"/>
    <x v="0"/>
    <n v="206348"/>
    <x v="4"/>
    <x v="3"/>
    <x v="3"/>
    <x v="10"/>
  </r>
  <r>
    <x v="10"/>
    <x v="0"/>
    <n v="301805"/>
    <x v="64"/>
    <x v="3"/>
    <x v="3"/>
    <x v="10"/>
  </r>
  <r>
    <x v="10"/>
    <x v="0"/>
    <n v="302856"/>
    <x v="46"/>
    <x v="3"/>
    <x v="3"/>
    <x v="10"/>
  </r>
  <r>
    <x v="10"/>
    <x v="0"/>
    <n v="218623"/>
    <x v="65"/>
    <x v="3"/>
    <x v="3"/>
    <x v="10"/>
  </r>
  <r>
    <x v="10"/>
    <x v="0"/>
    <n v="211415"/>
    <x v="50"/>
    <x v="3"/>
    <x v="3"/>
    <x v="10"/>
  </r>
  <r>
    <x v="10"/>
    <x v="0"/>
    <n v="158311"/>
    <x v="60"/>
    <x v="3"/>
    <x v="3"/>
    <x v="10"/>
  </r>
  <r>
    <x v="10"/>
    <x v="0"/>
    <n v="316879"/>
    <x v="2"/>
    <x v="3"/>
    <x v="3"/>
    <x v="10"/>
  </r>
  <r>
    <x v="10"/>
    <x v="0"/>
    <n v="317470"/>
    <x v="10"/>
    <x v="3"/>
    <x v="3"/>
    <x v="10"/>
  </r>
  <r>
    <x v="10"/>
    <x v="0"/>
    <n v="206298"/>
    <x v="14"/>
    <x v="3"/>
    <x v="3"/>
    <x v="10"/>
  </r>
  <r>
    <x v="10"/>
    <x v="0"/>
    <n v="205228"/>
    <x v="44"/>
    <x v="3"/>
    <x v="3"/>
    <x v="10"/>
  </r>
  <r>
    <x v="10"/>
    <x v="0"/>
    <n v="160030"/>
    <x v="55"/>
    <x v="3"/>
    <x v="3"/>
    <x v="10"/>
  </r>
  <r>
    <x v="10"/>
    <x v="0"/>
    <n v="321932"/>
    <x v="23"/>
    <x v="3"/>
    <x v="3"/>
    <x v="10"/>
  </r>
  <r>
    <x v="10"/>
    <x v="0"/>
    <n v="217678"/>
    <x v="104"/>
    <x v="3"/>
    <x v="3"/>
    <x v="10"/>
  </r>
  <r>
    <x v="10"/>
    <x v="0"/>
    <n v="302335"/>
    <x v="70"/>
    <x v="3"/>
    <x v="3"/>
    <x v="10"/>
  </r>
  <r>
    <x v="10"/>
    <x v="0"/>
    <n v="324108"/>
    <x v="35"/>
    <x v="3"/>
    <x v="3"/>
    <x v="10"/>
  </r>
  <r>
    <x v="10"/>
    <x v="0"/>
    <n v="210515"/>
    <x v="43"/>
    <x v="3"/>
    <x v="3"/>
    <x v="10"/>
  </r>
  <r>
    <x v="10"/>
    <x v="0"/>
    <n v="203631"/>
    <x v="71"/>
    <x v="3"/>
    <x v="3"/>
    <x v="10"/>
  </r>
  <r>
    <x v="10"/>
    <x v="0"/>
    <n v="218732"/>
    <x v="29"/>
    <x v="3"/>
    <x v="3"/>
    <x v="10"/>
  </r>
  <r>
    <x v="10"/>
    <x v="0"/>
    <n v="206968"/>
    <x v="12"/>
    <x v="3"/>
    <x v="3"/>
    <x v="10"/>
  </r>
  <r>
    <x v="10"/>
    <x v="0"/>
    <n v="301983"/>
    <x v="85"/>
    <x v="3"/>
    <x v="3"/>
    <x v="10"/>
  </r>
  <r>
    <x v="10"/>
    <x v="0"/>
    <n v="301920"/>
    <x v="91"/>
    <x v="3"/>
    <x v="3"/>
    <x v="10"/>
  </r>
  <r>
    <x v="10"/>
    <x v="0"/>
    <n v="301809"/>
    <x v="95"/>
    <x v="3"/>
    <x v="3"/>
    <x v="10"/>
  </r>
  <r>
    <x v="10"/>
    <x v="0"/>
    <n v="210127"/>
    <x v="41"/>
    <x v="3"/>
    <x v="3"/>
    <x v="10"/>
  </r>
  <r>
    <x v="10"/>
    <x v="0"/>
    <n v="301760"/>
    <x v="89"/>
    <x v="3"/>
    <x v="3"/>
    <x v="10"/>
  </r>
  <r>
    <x v="10"/>
    <x v="0"/>
    <n v="204952"/>
    <x v="56"/>
    <x v="3"/>
    <x v="3"/>
    <x v="10"/>
  </r>
  <r>
    <x v="10"/>
    <x v="0"/>
    <n v="218916"/>
    <x v="17"/>
    <x v="3"/>
    <x v="3"/>
    <x v="10"/>
  </r>
  <r>
    <x v="10"/>
    <x v="0"/>
    <n v="686"/>
    <x v="26"/>
    <x v="3"/>
    <x v="3"/>
    <x v="10"/>
  </r>
  <r>
    <x v="10"/>
    <x v="0"/>
    <n v="217081"/>
    <x v="13"/>
    <x v="3"/>
    <x v="3"/>
    <x v="10"/>
  </r>
  <r>
    <x v="10"/>
    <x v="0"/>
    <n v="1733"/>
    <x v="37"/>
    <x v="3"/>
    <x v="3"/>
    <x v="10"/>
  </r>
  <r>
    <x v="10"/>
    <x v="0"/>
    <n v="216476"/>
    <x v="94"/>
    <x v="3"/>
    <x v="3"/>
    <x v="10"/>
  </r>
  <r>
    <x v="10"/>
    <x v="0"/>
    <n v="2737"/>
    <x v="62"/>
    <x v="3"/>
    <x v="3"/>
    <x v="10"/>
  </r>
  <r>
    <x v="10"/>
    <x v="0"/>
    <n v="169537"/>
    <x v="81"/>
    <x v="3"/>
    <x v="3"/>
    <x v="10"/>
  </r>
  <r>
    <x v="10"/>
    <x v="0"/>
    <n v="144649"/>
    <x v="102"/>
    <x v="3"/>
    <x v="3"/>
    <x v="10"/>
  </r>
  <r>
    <x v="10"/>
    <x v="0"/>
    <n v="205985"/>
    <x v="27"/>
    <x v="3"/>
    <x v="3"/>
    <x v="10"/>
  </r>
  <r>
    <x v="10"/>
    <x v="0"/>
    <n v="218402"/>
    <x v="101"/>
    <x v="3"/>
    <x v="3"/>
    <x v="10"/>
  </r>
  <r>
    <x v="10"/>
    <x v="0"/>
    <n v="301229"/>
    <x v="98"/>
    <x v="3"/>
    <x v="3"/>
    <x v="10"/>
  </r>
  <r>
    <x v="10"/>
    <x v="0"/>
    <n v="218698"/>
    <x v="48"/>
    <x v="3"/>
    <x v="3"/>
    <x v="10"/>
  </r>
  <r>
    <x v="10"/>
    <x v="0"/>
    <n v="140302"/>
    <x v="100"/>
    <x v="3"/>
    <x v="3"/>
    <x v="10"/>
  </r>
  <r>
    <x v="10"/>
    <x v="0"/>
    <n v="216566"/>
    <x v="96"/>
    <x v="3"/>
    <x v="3"/>
    <x v="10"/>
  </r>
  <r>
    <x v="10"/>
    <x v="0"/>
    <n v="117986"/>
    <x v="92"/>
    <x v="3"/>
    <x v="3"/>
    <x v="10"/>
  </r>
  <r>
    <x v="10"/>
    <x v="0"/>
    <n v="204939"/>
    <x v="61"/>
    <x v="3"/>
    <x v="3"/>
    <x v="10"/>
  </r>
  <r>
    <x v="10"/>
    <x v="0"/>
    <n v="130744"/>
    <x v="97"/>
    <x v="3"/>
    <x v="3"/>
    <x v="10"/>
  </r>
  <r>
    <x v="10"/>
    <x v="0"/>
    <n v="117501"/>
    <x v="84"/>
    <x v="3"/>
    <x v="3"/>
    <x v="10"/>
  </r>
  <r>
    <x v="10"/>
    <x v="0"/>
    <n v="118535"/>
    <x v="90"/>
    <x v="3"/>
    <x v="3"/>
    <x v="10"/>
  </r>
  <r>
    <x v="10"/>
    <x v="0"/>
    <n v="300363"/>
    <x v="11"/>
    <x v="3"/>
    <x v="3"/>
    <x v="10"/>
  </r>
  <r>
    <x v="10"/>
    <x v="0"/>
    <n v="144154"/>
    <x v="93"/>
    <x v="3"/>
    <x v="3"/>
    <x v="10"/>
  </r>
  <r>
    <x v="10"/>
    <x v="0"/>
    <n v="210001"/>
    <x v="36"/>
    <x v="3"/>
    <x v="3"/>
    <x v="10"/>
  </r>
  <r>
    <x v="10"/>
    <x v="0"/>
    <n v="300711"/>
    <x v="74"/>
    <x v="3"/>
    <x v="3"/>
    <x v="10"/>
  </r>
  <r>
    <x v="10"/>
    <x v="0"/>
    <n v="209211"/>
    <x v="33"/>
    <x v="3"/>
    <x v="3"/>
    <x v="10"/>
  </r>
  <r>
    <x v="10"/>
    <x v="0"/>
    <n v="323608"/>
    <x v="31"/>
    <x v="3"/>
    <x v="3"/>
    <x v="10"/>
  </r>
  <r>
    <x v="10"/>
    <x v="0"/>
    <n v="218616"/>
    <x v="86"/>
    <x v="3"/>
    <x v="3"/>
    <x v="10"/>
  </r>
  <r>
    <x v="10"/>
    <x v="0"/>
    <n v="209208"/>
    <x v="30"/>
    <x v="3"/>
    <x v="3"/>
    <x v="10"/>
  </r>
  <r>
    <x v="10"/>
    <x v="0"/>
    <n v="169872"/>
    <x v="79"/>
    <x v="3"/>
    <x v="3"/>
    <x v="10"/>
  </r>
  <r>
    <x v="10"/>
    <x v="0"/>
    <n v="211622"/>
    <x v="82"/>
    <x v="3"/>
    <x v="3"/>
    <x v="10"/>
  </r>
  <r>
    <x v="10"/>
    <x v="0"/>
    <n v="208277"/>
    <x v="25"/>
    <x v="3"/>
    <x v="3"/>
    <x v="10"/>
  </r>
  <r>
    <x v="11"/>
    <x v="0"/>
    <n v="316646"/>
    <x v="6"/>
    <x v="3"/>
    <x v="3"/>
    <x v="11"/>
  </r>
  <r>
    <x v="11"/>
    <x v="0"/>
    <n v="117230"/>
    <x v="73"/>
    <x v="3"/>
    <x v="3"/>
    <x v="11"/>
  </r>
  <r>
    <x v="11"/>
    <x v="0"/>
    <n v="205349"/>
    <x v="39"/>
    <x v="3"/>
    <x v="3"/>
    <x v="11"/>
  </r>
  <r>
    <x v="11"/>
    <x v="0"/>
    <n v="207404"/>
    <x v="16"/>
    <x v="3"/>
    <x v="3"/>
    <x v="11"/>
  </r>
  <r>
    <x v="11"/>
    <x v="0"/>
    <n v="300169"/>
    <x v="5"/>
    <x v="3"/>
    <x v="3"/>
    <x v="11"/>
  </r>
  <r>
    <x v="11"/>
    <x v="0"/>
    <n v="207743"/>
    <x v="20"/>
    <x v="3"/>
    <x v="3"/>
    <x v="11"/>
  </r>
  <r>
    <x v="11"/>
    <x v="0"/>
    <n v="161520"/>
    <x v="77"/>
    <x v="3"/>
    <x v="3"/>
    <x v="11"/>
  </r>
  <r>
    <x v="11"/>
    <x v="0"/>
    <n v="206968"/>
    <x v="12"/>
    <x v="3"/>
    <x v="3"/>
    <x v="11"/>
  </r>
  <r>
    <x v="11"/>
    <x v="0"/>
    <n v="208277"/>
    <x v="25"/>
    <x v="3"/>
    <x v="3"/>
    <x v="11"/>
  </r>
  <r>
    <x v="11"/>
    <x v="0"/>
    <n v="117456"/>
    <x v="80"/>
    <x v="3"/>
    <x v="3"/>
    <x v="11"/>
  </r>
  <r>
    <x v="11"/>
    <x v="0"/>
    <n v="168458"/>
    <x v="75"/>
    <x v="3"/>
    <x v="3"/>
    <x v="11"/>
  </r>
  <r>
    <x v="11"/>
    <x v="0"/>
    <n v="507"/>
    <x v="9"/>
    <x v="3"/>
    <x v="3"/>
    <x v="11"/>
  </r>
  <r>
    <x v="11"/>
    <x v="0"/>
    <n v="218628"/>
    <x v="76"/>
    <x v="3"/>
    <x v="3"/>
    <x v="11"/>
  </r>
  <r>
    <x v="11"/>
    <x v="0"/>
    <n v="209208"/>
    <x v="30"/>
    <x v="3"/>
    <x v="3"/>
    <x v="11"/>
  </r>
  <r>
    <x v="11"/>
    <x v="0"/>
    <n v="218225"/>
    <x v="1"/>
    <x v="3"/>
    <x v="3"/>
    <x v="11"/>
  </r>
  <r>
    <x v="11"/>
    <x v="0"/>
    <n v="206708"/>
    <x v="7"/>
    <x v="3"/>
    <x v="3"/>
    <x v="11"/>
  </r>
  <r>
    <x v="11"/>
    <x v="0"/>
    <n v="209209"/>
    <x v="32"/>
    <x v="3"/>
    <x v="3"/>
    <x v="11"/>
  </r>
  <r>
    <x v="11"/>
    <x v="0"/>
    <n v="215020"/>
    <x v="72"/>
    <x v="3"/>
    <x v="3"/>
    <x v="11"/>
  </r>
  <r>
    <x v="11"/>
    <x v="0"/>
    <n v="209211"/>
    <x v="33"/>
    <x v="3"/>
    <x v="3"/>
    <x v="11"/>
  </r>
  <r>
    <x v="11"/>
    <x v="0"/>
    <n v="131643"/>
    <x v="0"/>
    <x v="3"/>
    <x v="3"/>
    <x v="11"/>
  </r>
  <r>
    <x v="11"/>
    <x v="0"/>
    <n v="210001"/>
    <x v="36"/>
    <x v="3"/>
    <x v="3"/>
    <x v="11"/>
  </r>
  <r>
    <x v="11"/>
    <x v="0"/>
    <n v="300571"/>
    <x v="18"/>
    <x v="3"/>
    <x v="3"/>
    <x v="11"/>
  </r>
  <r>
    <x v="11"/>
    <x v="0"/>
    <n v="218210"/>
    <x v="69"/>
    <x v="3"/>
    <x v="3"/>
    <x v="11"/>
  </r>
  <r>
    <x v="11"/>
    <x v="0"/>
    <n v="300862"/>
    <x v="66"/>
    <x v="3"/>
    <x v="3"/>
    <x v="11"/>
  </r>
  <r>
    <x v="11"/>
    <x v="0"/>
    <n v="206348"/>
    <x v="4"/>
    <x v="3"/>
    <x v="3"/>
    <x v="11"/>
  </r>
  <r>
    <x v="11"/>
    <x v="0"/>
    <n v="210127"/>
    <x v="41"/>
    <x v="3"/>
    <x v="3"/>
    <x v="11"/>
  </r>
  <r>
    <x v="11"/>
    <x v="0"/>
    <n v="218987"/>
    <x v="8"/>
    <x v="3"/>
    <x v="3"/>
    <x v="11"/>
  </r>
  <r>
    <x v="11"/>
    <x v="0"/>
    <n v="210515"/>
    <x v="43"/>
    <x v="3"/>
    <x v="3"/>
    <x v="11"/>
  </r>
  <r>
    <x v="11"/>
    <x v="0"/>
    <n v="117442"/>
    <x v="68"/>
    <x v="3"/>
    <x v="3"/>
    <x v="11"/>
  </r>
  <r>
    <x v="11"/>
    <x v="0"/>
    <n v="302737"/>
    <x v="52"/>
    <x v="3"/>
    <x v="3"/>
    <x v="11"/>
  </r>
  <r>
    <x v="11"/>
    <x v="0"/>
    <n v="301805"/>
    <x v="64"/>
    <x v="3"/>
    <x v="3"/>
    <x v="11"/>
  </r>
  <r>
    <x v="11"/>
    <x v="0"/>
    <n v="300219"/>
    <x v="3"/>
    <x v="3"/>
    <x v="3"/>
    <x v="11"/>
  </r>
  <r>
    <x v="11"/>
    <x v="0"/>
    <n v="210557"/>
    <x v="47"/>
    <x v="3"/>
    <x v="3"/>
    <x v="11"/>
  </r>
  <r>
    <x v="11"/>
    <x v="0"/>
    <n v="218623"/>
    <x v="65"/>
    <x v="3"/>
    <x v="3"/>
    <x v="11"/>
  </r>
  <r>
    <x v="11"/>
    <x v="0"/>
    <n v="211415"/>
    <x v="50"/>
    <x v="3"/>
    <x v="3"/>
    <x v="11"/>
  </r>
  <r>
    <x v="11"/>
    <x v="0"/>
    <n v="158311"/>
    <x v="60"/>
    <x v="3"/>
    <x v="3"/>
    <x v="11"/>
  </r>
  <r>
    <x v="11"/>
    <x v="0"/>
    <n v="206298"/>
    <x v="14"/>
    <x v="3"/>
    <x v="3"/>
    <x v="11"/>
  </r>
  <r>
    <x v="11"/>
    <x v="0"/>
    <n v="211470"/>
    <x v="53"/>
    <x v="3"/>
    <x v="3"/>
    <x v="11"/>
  </r>
  <r>
    <x v="11"/>
    <x v="0"/>
    <n v="300987"/>
    <x v="59"/>
    <x v="3"/>
    <x v="3"/>
    <x v="11"/>
  </r>
  <r>
    <x v="11"/>
    <x v="0"/>
    <n v="213849"/>
    <x v="58"/>
    <x v="3"/>
    <x v="3"/>
    <x v="11"/>
  </r>
  <r>
    <x v="11"/>
    <x v="0"/>
    <n v="206236"/>
    <x v="22"/>
    <x v="3"/>
    <x v="3"/>
    <x v="11"/>
  </r>
  <r>
    <x v="11"/>
    <x v="0"/>
    <n v="214951"/>
    <x v="78"/>
    <x v="3"/>
    <x v="3"/>
    <x v="11"/>
  </r>
  <r>
    <x v="11"/>
    <x v="0"/>
    <n v="205228"/>
    <x v="44"/>
    <x v="3"/>
    <x v="3"/>
    <x v="11"/>
  </r>
  <r>
    <x v="11"/>
    <x v="0"/>
    <n v="205985"/>
    <x v="27"/>
    <x v="3"/>
    <x v="3"/>
    <x v="11"/>
  </r>
  <r>
    <x v="11"/>
    <x v="0"/>
    <n v="160030"/>
    <x v="55"/>
    <x v="3"/>
    <x v="3"/>
    <x v="11"/>
  </r>
  <r>
    <x v="11"/>
    <x v="0"/>
    <n v="158751"/>
    <x v="54"/>
    <x v="3"/>
    <x v="3"/>
    <x v="11"/>
  </r>
  <r>
    <x v="11"/>
    <x v="0"/>
    <n v="216476"/>
    <x v="94"/>
    <x v="3"/>
    <x v="3"/>
    <x v="11"/>
  </r>
  <r>
    <x v="11"/>
    <x v="0"/>
    <n v="216566"/>
    <x v="96"/>
    <x v="3"/>
    <x v="3"/>
    <x v="11"/>
  </r>
  <r>
    <x v="11"/>
    <x v="0"/>
    <n v="217081"/>
    <x v="13"/>
    <x v="3"/>
    <x v="3"/>
    <x v="11"/>
  </r>
  <r>
    <x v="11"/>
    <x v="0"/>
    <n v="217678"/>
    <x v="104"/>
    <x v="3"/>
    <x v="3"/>
    <x v="11"/>
  </r>
  <r>
    <x v="11"/>
    <x v="0"/>
    <n v="203631"/>
    <x v="71"/>
    <x v="3"/>
    <x v="3"/>
    <x v="11"/>
  </r>
  <r>
    <x v="11"/>
    <x v="0"/>
    <n v="321932"/>
    <x v="23"/>
    <x v="3"/>
    <x v="3"/>
    <x v="11"/>
  </r>
  <r>
    <x v="11"/>
    <x v="0"/>
    <n v="218402"/>
    <x v="101"/>
    <x v="3"/>
    <x v="3"/>
    <x v="11"/>
  </r>
  <r>
    <x v="11"/>
    <x v="0"/>
    <n v="218732"/>
    <x v="29"/>
    <x v="3"/>
    <x v="3"/>
    <x v="11"/>
  </r>
  <r>
    <x v="11"/>
    <x v="0"/>
    <n v="218616"/>
    <x v="86"/>
    <x v="3"/>
    <x v="3"/>
    <x v="11"/>
  </r>
  <r>
    <x v="11"/>
    <x v="0"/>
    <n v="161003"/>
    <x v="88"/>
    <x v="3"/>
    <x v="3"/>
    <x v="11"/>
  </r>
  <r>
    <x v="11"/>
    <x v="0"/>
    <n v="218916"/>
    <x v="17"/>
    <x v="3"/>
    <x v="3"/>
    <x v="11"/>
  </r>
  <r>
    <x v="11"/>
    <x v="0"/>
    <n v="117866"/>
    <x v="87"/>
    <x v="3"/>
    <x v="3"/>
    <x v="11"/>
  </r>
  <r>
    <x v="11"/>
    <x v="0"/>
    <n v="312259"/>
    <x v="28"/>
    <x v="3"/>
    <x v="3"/>
    <x v="11"/>
  </r>
  <r>
    <x v="11"/>
    <x v="0"/>
    <n v="205104"/>
    <x v="51"/>
    <x v="3"/>
    <x v="3"/>
    <x v="11"/>
  </r>
  <r>
    <x v="11"/>
    <x v="0"/>
    <n v="218644"/>
    <x v="63"/>
    <x v="3"/>
    <x v="3"/>
    <x v="11"/>
  </r>
  <r>
    <x v="11"/>
    <x v="0"/>
    <n v="218674"/>
    <x v="57"/>
    <x v="3"/>
    <x v="3"/>
    <x v="11"/>
  </r>
  <r>
    <x v="11"/>
    <x v="0"/>
    <n v="204952"/>
    <x v="56"/>
    <x v="3"/>
    <x v="3"/>
    <x v="11"/>
  </r>
  <r>
    <x v="11"/>
    <x v="0"/>
    <n v="218698"/>
    <x v="48"/>
    <x v="3"/>
    <x v="3"/>
    <x v="11"/>
  </r>
  <r>
    <x v="11"/>
    <x v="0"/>
    <n v="204939"/>
    <x v="61"/>
    <x v="3"/>
    <x v="3"/>
    <x v="11"/>
  </r>
  <r>
    <x v="11"/>
    <x v="0"/>
    <n v="204615"/>
    <x v="67"/>
    <x v="3"/>
    <x v="3"/>
    <x v="11"/>
  </r>
  <r>
    <x v="11"/>
    <x v="0"/>
    <n v="169872"/>
    <x v="79"/>
    <x v="3"/>
    <x v="3"/>
    <x v="11"/>
  </r>
  <r>
    <x v="11"/>
    <x v="0"/>
    <n v="169537"/>
    <x v="81"/>
    <x v="3"/>
    <x v="3"/>
    <x v="11"/>
  </r>
  <r>
    <x v="11"/>
    <x v="0"/>
    <n v="314137"/>
    <x v="19"/>
    <x v="3"/>
    <x v="3"/>
    <x v="11"/>
  </r>
  <r>
    <x v="11"/>
    <x v="0"/>
    <n v="149445"/>
    <x v="99"/>
    <x v="3"/>
    <x v="3"/>
    <x v="11"/>
  </r>
  <r>
    <x v="11"/>
    <x v="0"/>
    <n v="144649"/>
    <x v="102"/>
    <x v="3"/>
    <x v="3"/>
    <x v="11"/>
  </r>
  <r>
    <x v="11"/>
    <x v="0"/>
    <n v="300711"/>
    <x v="74"/>
    <x v="3"/>
    <x v="3"/>
    <x v="11"/>
  </r>
  <r>
    <x v="11"/>
    <x v="0"/>
    <n v="144154"/>
    <x v="93"/>
    <x v="3"/>
    <x v="3"/>
    <x v="11"/>
  </r>
  <r>
    <x v="11"/>
    <x v="0"/>
    <n v="140302"/>
    <x v="100"/>
    <x v="3"/>
    <x v="3"/>
    <x v="11"/>
  </r>
  <r>
    <x v="11"/>
    <x v="0"/>
    <n v="130744"/>
    <x v="97"/>
    <x v="3"/>
    <x v="3"/>
    <x v="11"/>
  </r>
  <r>
    <x v="11"/>
    <x v="0"/>
    <n v="120762"/>
    <x v="103"/>
    <x v="3"/>
    <x v="3"/>
    <x v="11"/>
  </r>
  <r>
    <x v="11"/>
    <x v="0"/>
    <n v="302988"/>
    <x v="45"/>
    <x v="3"/>
    <x v="3"/>
    <x v="11"/>
  </r>
  <r>
    <x v="11"/>
    <x v="0"/>
    <n v="301983"/>
    <x v="85"/>
    <x v="3"/>
    <x v="3"/>
    <x v="11"/>
  </r>
  <r>
    <x v="11"/>
    <x v="0"/>
    <n v="315199"/>
    <x v="15"/>
    <x v="3"/>
    <x v="3"/>
    <x v="11"/>
  </r>
  <r>
    <x v="11"/>
    <x v="0"/>
    <n v="118535"/>
    <x v="90"/>
    <x v="3"/>
    <x v="3"/>
    <x v="11"/>
  </r>
  <r>
    <x v="11"/>
    <x v="0"/>
    <n v="117986"/>
    <x v="92"/>
    <x v="3"/>
    <x v="3"/>
    <x v="11"/>
  </r>
  <r>
    <x v="11"/>
    <x v="0"/>
    <n v="302335"/>
    <x v="70"/>
    <x v="3"/>
    <x v="3"/>
    <x v="11"/>
  </r>
  <r>
    <x v="11"/>
    <x v="0"/>
    <n v="301229"/>
    <x v="98"/>
    <x v="3"/>
    <x v="3"/>
    <x v="11"/>
  </r>
  <r>
    <x v="11"/>
    <x v="0"/>
    <n v="117819"/>
    <x v="83"/>
    <x v="3"/>
    <x v="3"/>
    <x v="11"/>
  </r>
  <r>
    <x v="11"/>
    <x v="0"/>
    <n v="117501"/>
    <x v="84"/>
    <x v="3"/>
    <x v="3"/>
    <x v="11"/>
  </r>
  <r>
    <x v="11"/>
    <x v="0"/>
    <n v="2737"/>
    <x v="62"/>
    <x v="3"/>
    <x v="3"/>
    <x v="11"/>
  </r>
  <r>
    <x v="11"/>
    <x v="0"/>
    <n v="317470"/>
    <x v="10"/>
    <x v="3"/>
    <x v="3"/>
    <x v="11"/>
  </r>
  <r>
    <x v="11"/>
    <x v="0"/>
    <n v="303219"/>
    <x v="40"/>
    <x v="3"/>
    <x v="3"/>
    <x v="11"/>
  </r>
  <r>
    <x v="11"/>
    <x v="0"/>
    <n v="1733"/>
    <x v="37"/>
    <x v="3"/>
    <x v="3"/>
    <x v="11"/>
  </r>
  <r>
    <x v="11"/>
    <x v="0"/>
    <n v="303189"/>
    <x v="42"/>
    <x v="3"/>
    <x v="3"/>
    <x v="11"/>
  </r>
  <r>
    <x v="11"/>
    <x v="0"/>
    <n v="301760"/>
    <x v="89"/>
    <x v="3"/>
    <x v="3"/>
    <x v="11"/>
  </r>
  <r>
    <x v="11"/>
    <x v="0"/>
    <n v="301809"/>
    <x v="95"/>
    <x v="3"/>
    <x v="3"/>
    <x v="11"/>
  </r>
  <r>
    <x v="11"/>
    <x v="0"/>
    <n v="686"/>
    <x v="26"/>
    <x v="3"/>
    <x v="3"/>
    <x v="11"/>
  </r>
  <r>
    <x v="11"/>
    <x v="0"/>
    <n v="300363"/>
    <x v="11"/>
    <x v="3"/>
    <x v="3"/>
    <x v="11"/>
  </r>
  <r>
    <x v="11"/>
    <x v="0"/>
    <n v="312807"/>
    <x v="21"/>
    <x v="3"/>
    <x v="3"/>
    <x v="11"/>
  </r>
  <r>
    <x v="11"/>
    <x v="0"/>
    <n v="303221"/>
    <x v="38"/>
    <x v="3"/>
    <x v="3"/>
    <x v="11"/>
  </r>
  <r>
    <x v="11"/>
    <x v="0"/>
    <n v="302769"/>
    <x v="49"/>
    <x v="3"/>
    <x v="3"/>
    <x v="11"/>
  </r>
  <r>
    <x v="11"/>
    <x v="0"/>
    <n v="301920"/>
    <x v="91"/>
    <x v="3"/>
    <x v="3"/>
    <x v="11"/>
  </r>
  <r>
    <x v="11"/>
    <x v="0"/>
    <n v="324108"/>
    <x v="35"/>
    <x v="3"/>
    <x v="3"/>
    <x v="11"/>
  </r>
  <r>
    <x v="11"/>
    <x v="0"/>
    <n v="316879"/>
    <x v="2"/>
    <x v="3"/>
    <x v="3"/>
    <x v="11"/>
  </r>
  <r>
    <x v="11"/>
    <x v="0"/>
    <n v="312617"/>
    <x v="24"/>
    <x v="3"/>
    <x v="3"/>
    <x v="11"/>
  </r>
  <r>
    <x v="11"/>
    <x v="0"/>
    <n v="323608"/>
    <x v="31"/>
    <x v="3"/>
    <x v="3"/>
    <x v="11"/>
  </r>
  <r>
    <x v="11"/>
    <x v="0"/>
    <n v="302856"/>
    <x v="46"/>
    <x v="3"/>
    <x v="3"/>
    <x v="11"/>
  </r>
  <r>
    <x v="11"/>
    <x v="0"/>
    <n v="311895"/>
    <x v="34"/>
    <x v="3"/>
    <x v="3"/>
    <x v="11"/>
  </r>
  <r>
    <x v="11"/>
    <x v="0"/>
    <n v="211622"/>
    <x v="82"/>
    <x v="3"/>
    <x v="3"/>
    <x v="11"/>
  </r>
  <r>
    <x v="12"/>
    <x v="0"/>
    <n v="301760"/>
    <x v="89"/>
    <x v="3"/>
    <x v="3"/>
    <x v="12"/>
  </r>
  <r>
    <x v="12"/>
    <x v="0"/>
    <n v="314137"/>
    <x v="19"/>
    <x v="3"/>
    <x v="3"/>
    <x v="12"/>
  </r>
  <r>
    <x v="12"/>
    <x v="0"/>
    <n v="303221"/>
    <x v="38"/>
    <x v="3"/>
    <x v="3"/>
    <x v="12"/>
  </r>
  <r>
    <x v="12"/>
    <x v="0"/>
    <n v="311895"/>
    <x v="34"/>
    <x v="3"/>
    <x v="3"/>
    <x v="12"/>
  </r>
  <r>
    <x v="12"/>
    <x v="0"/>
    <n v="300987"/>
    <x v="59"/>
    <x v="3"/>
    <x v="3"/>
    <x v="12"/>
  </r>
  <r>
    <x v="12"/>
    <x v="0"/>
    <n v="312259"/>
    <x v="28"/>
    <x v="3"/>
    <x v="3"/>
    <x v="12"/>
  </r>
  <r>
    <x v="12"/>
    <x v="0"/>
    <n v="303219"/>
    <x v="40"/>
    <x v="3"/>
    <x v="3"/>
    <x v="12"/>
  </r>
  <r>
    <x v="12"/>
    <x v="0"/>
    <n v="303189"/>
    <x v="42"/>
    <x v="3"/>
    <x v="3"/>
    <x v="12"/>
  </r>
  <r>
    <x v="12"/>
    <x v="0"/>
    <n v="312617"/>
    <x v="24"/>
    <x v="3"/>
    <x v="3"/>
    <x v="12"/>
  </r>
  <r>
    <x v="12"/>
    <x v="0"/>
    <n v="158751"/>
    <x v="54"/>
    <x v="3"/>
    <x v="3"/>
    <x v="12"/>
  </r>
  <r>
    <x v="12"/>
    <x v="0"/>
    <n v="302988"/>
    <x v="45"/>
    <x v="3"/>
    <x v="3"/>
    <x v="12"/>
  </r>
  <r>
    <x v="12"/>
    <x v="0"/>
    <n v="312807"/>
    <x v="21"/>
    <x v="3"/>
    <x v="3"/>
    <x v="12"/>
  </r>
  <r>
    <x v="12"/>
    <x v="0"/>
    <n v="300219"/>
    <x v="3"/>
    <x v="3"/>
    <x v="3"/>
    <x v="12"/>
  </r>
  <r>
    <x v="12"/>
    <x v="0"/>
    <n v="302856"/>
    <x v="46"/>
    <x v="3"/>
    <x v="3"/>
    <x v="12"/>
  </r>
  <r>
    <x v="12"/>
    <x v="0"/>
    <n v="315199"/>
    <x v="15"/>
    <x v="3"/>
    <x v="3"/>
    <x v="12"/>
  </r>
  <r>
    <x v="12"/>
    <x v="0"/>
    <n v="213849"/>
    <x v="58"/>
    <x v="3"/>
    <x v="3"/>
    <x v="12"/>
  </r>
  <r>
    <x v="12"/>
    <x v="0"/>
    <n v="302769"/>
    <x v="49"/>
    <x v="3"/>
    <x v="3"/>
    <x v="12"/>
  </r>
  <r>
    <x v="12"/>
    <x v="0"/>
    <n v="316646"/>
    <x v="6"/>
    <x v="3"/>
    <x v="3"/>
    <x v="12"/>
  </r>
  <r>
    <x v="12"/>
    <x v="0"/>
    <n v="302737"/>
    <x v="52"/>
    <x v="3"/>
    <x v="3"/>
    <x v="12"/>
  </r>
  <r>
    <x v="12"/>
    <x v="0"/>
    <n v="316879"/>
    <x v="2"/>
    <x v="3"/>
    <x v="3"/>
    <x v="12"/>
  </r>
  <r>
    <x v="12"/>
    <x v="0"/>
    <n v="317470"/>
    <x v="10"/>
    <x v="3"/>
    <x v="3"/>
    <x v="12"/>
  </r>
  <r>
    <x v="12"/>
    <x v="0"/>
    <n v="302335"/>
    <x v="70"/>
    <x v="3"/>
    <x v="3"/>
    <x v="12"/>
  </r>
  <r>
    <x v="12"/>
    <x v="0"/>
    <n v="321932"/>
    <x v="23"/>
    <x v="3"/>
    <x v="3"/>
    <x v="12"/>
  </r>
  <r>
    <x v="12"/>
    <x v="0"/>
    <n v="206298"/>
    <x v="14"/>
    <x v="3"/>
    <x v="3"/>
    <x v="12"/>
  </r>
  <r>
    <x v="12"/>
    <x v="0"/>
    <n v="324108"/>
    <x v="35"/>
    <x v="3"/>
    <x v="3"/>
    <x v="12"/>
  </r>
  <r>
    <x v="12"/>
    <x v="0"/>
    <n v="301983"/>
    <x v="85"/>
    <x v="3"/>
    <x v="3"/>
    <x v="12"/>
  </r>
  <r>
    <x v="12"/>
    <x v="0"/>
    <n v="205228"/>
    <x v="44"/>
    <x v="3"/>
    <x v="3"/>
    <x v="12"/>
  </r>
  <r>
    <x v="12"/>
    <x v="0"/>
    <n v="301920"/>
    <x v="91"/>
    <x v="3"/>
    <x v="3"/>
    <x v="12"/>
  </r>
  <r>
    <x v="12"/>
    <x v="0"/>
    <n v="301809"/>
    <x v="95"/>
    <x v="3"/>
    <x v="3"/>
    <x v="12"/>
  </r>
  <r>
    <x v="12"/>
    <x v="0"/>
    <n v="301805"/>
    <x v="64"/>
    <x v="3"/>
    <x v="3"/>
    <x v="12"/>
  </r>
  <r>
    <x v="12"/>
    <x v="0"/>
    <n v="160030"/>
    <x v="55"/>
    <x v="3"/>
    <x v="3"/>
    <x v="12"/>
  </r>
  <r>
    <x v="12"/>
    <x v="0"/>
    <n v="207404"/>
    <x v="16"/>
    <x v="3"/>
    <x v="3"/>
    <x v="12"/>
  </r>
  <r>
    <x v="12"/>
    <x v="0"/>
    <n v="507"/>
    <x v="9"/>
    <x v="3"/>
    <x v="3"/>
    <x v="12"/>
  </r>
  <r>
    <x v="12"/>
    <x v="0"/>
    <n v="217678"/>
    <x v="104"/>
    <x v="3"/>
    <x v="3"/>
    <x v="12"/>
  </r>
  <r>
    <x v="12"/>
    <x v="0"/>
    <n v="686"/>
    <x v="26"/>
    <x v="3"/>
    <x v="3"/>
    <x v="12"/>
  </r>
  <r>
    <x v="12"/>
    <x v="0"/>
    <n v="1733"/>
    <x v="37"/>
    <x v="3"/>
    <x v="3"/>
    <x v="12"/>
  </r>
  <r>
    <x v="12"/>
    <x v="0"/>
    <n v="210515"/>
    <x v="43"/>
    <x v="3"/>
    <x v="3"/>
    <x v="12"/>
  </r>
  <r>
    <x v="12"/>
    <x v="0"/>
    <n v="2737"/>
    <x v="62"/>
    <x v="3"/>
    <x v="3"/>
    <x v="12"/>
  </r>
  <r>
    <x v="12"/>
    <x v="0"/>
    <n v="203631"/>
    <x v="71"/>
    <x v="3"/>
    <x v="3"/>
    <x v="12"/>
  </r>
  <r>
    <x v="12"/>
    <x v="0"/>
    <n v="301229"/>
    <x v="98"/>
    <x v="3"/>
    <x v="3"/>
    <x v="12"/>
  </r>
  <r>
    <x v="12"/>
    <x v="0"/>
    <n v="117230"/>
    <x v="73"/>
    <x v="3"/>
    <x v="3"/>
    <x v="12"/>
  </r>
  <r>
    <x v="12"/>
    <x v="0"/>
    <n v="117442"/>
    <x v="68"/>
    <x v="3"/>
    <x v="3"/>
    <x v="12"/>
  </r>
  <r>
    <x v="12"/>
    <x v="0"/>
    <n v="117456"/>
    <x v="80"/>
    <x v="3"/>
    <x v="3"/>
    <x v="12"/>
  </r>
  <r>
    <x v="12"/>
    <x v="0"/>
    <n v="117819"/>
    <x v="83"/>
    <x v="3"/>
    <x v="3"/>
    <x v="12"/>
  </r>
  <r>
    <x v="12"/>
    <x v="0"/>
    <n v="117866"/>
    <x v="87"/>
    <x v="3"/>
    <x v="3"/>
    <x v="12"/>
  </r>
  <r>
    <x v="12"/>
    <x v="0"/>
    <n v="117986"/>
    <x v="92"/>
    <x v="3"/>
    <x v="3"/>
    <x v="12"/>
  </r>
  <r>
    <x v="12"/>
    <x v="0"/>
    <n v="218732"/>
    <x v="29"/>
    <x v="3"/>
    <x v="3"/>
    <x v="12"/>
  </r>
  <r>
    <x v="12"/>
    <x v="0"/>
    <n v="118535"/>
    <x v="90"/>
    <x v="3"/>
    <x v="3"/>
    <x v="12"/>
  </r>
  <r>
    <x v="12"/>
    <x v="0"/>
    <n v="120762"/>
    <x v="103"/>
    <x v="3"/>
    <x v="3"/>
    <x v="12"/>
  </r>
  <r>
    <x v="12"/>
    <x v="0"/>
    <n v="300862"/>
    <x v="66"/>
    <x v="3"/>
    <x v="3"/>
    <x v="12"/>
  </r>
  <r>
    <x v="12"/>
    <x v="0"/>
    <n v="206968"/>
    <x v="12"/>
    <x v="3"/>
    <x v="3"/>
    <x v="12"/>
  </r>
  <r>
    <x v="12"/>
    <x v="0"/>
    <n v="130744"/>
    <x v="97"/>
    <x v="3"/>
    <x v="3"/>
    <x v="12"/>
  </r>
  <r>
    <x v="12"/>
    <x v="0"/>
    <n v="131643"/>
    <x v="0"/>
    <x v="3"/>
    <x v="3"/>
    <x v="12"/>
  </r>
  <r>
    <x v="12"/>
    <x v="0"/>
    <n v="140302"/>
    <x v="100"/>
    <x v="3"/>
    <x v="3"/>
    <x v="12"/>
  </r>
  <r>
    <x v="12"/>
    <x v="0"/>
    <n v="300711"/>
    <x v="74"/>
    <x v="3"/>
    <x v="3"/>
    <x v="12"/>
  </r>
  <r>
    <x v="12"/>
    <x v="0"/>
    <n v="144154"/>
    <x v="93"/>
    <x v="3"/>
    <x v="3"/>
    <x v="12"/>
  </r>
  <r>
    <x v="12"/>
    <x v="0"/>
    <n v="161003"/>
    <x v="88"/>
    <x v="3"/>
    <x v="3"/>
    <x v="12"/>
  </r>
  <r>
    <x v="12"/>
    <x v="0"/>
    <n v="144649"/>
    <x v="102"/>
    <x v="3"/>
    <x v="3"/>
    <x v="12"/>
  </r>
  <r>
    <x v="12"/>
    <x v="0"/>
    <n v="149445"/>
    <x v="99"/>
    <x v="3"/>
    <x v="3"/>
    <x v="12"/>
  </r>
  <r>
    <x v="12"/>
    <x v="0"/>
    <n v="158311"/>
    <x v="60"/>
    <x v="3"/>
    <x v="3"/>
    <x v="12"/>
  </r>
  <r>
    <x v="12"/>
    <x v="0"/>
    <n v="300571"/>
    <x v="18"/>
    <x v="3"/>
    <x v="3"/>
    <x v="12"/>
  </r>
  <r>
    <x v="12"/>
    <x v="0"/>
    <n v="161520"/>
    <x v="77"/>
    <x v="3"/>
    <x v="3"/>
    <x v="12"/>
  </r>
  <r>
    <x v="12"/>
    <x v="0"/>
    <n v="168458"/>
    <x v="75"/>
    <x v="3"/>
    <x v="3"/>
    <x v="12"/>
  </r>
  <r>
    <x v="12"/>
    <x v="0"/>
    <n v="169537"/>
    <x v="81"/>
    <x v="3"/>
    <x v="3"/>
    <x v="12"/>
  </r>
  <r>
    <x v="12"/>
    <x v="0"/>
    <n v="169872"/>
    <x v="79"/>
    <x v="3"/>
    <x v="3"/>
    <x v="12"/>
  </r>
  <r>
    <x v="12"/>
    <x v="0"/>
    <n v="204615"/>
    <x v="67"/>
    <x v="3"/>
    <x v="3"/>
    <x v="12"/>
  </r>
  <r>
    <x v="12"/>
    <x v="0"/>
    <n v="204939"/>
    <x v="61"/>
    <x v="3"/>
    <x v="3"/>
    <x v="12"/>
  </r>
  <r>
    <x v="12"/>
    <x v="0"/>
    <n v="218698"/>
    <x v="48"/>
    <x v="3"/>
    <x v="3"/>
    <x v="12"/>
  </r>
  <r>
    <x v="12"/>
    <x v="0"/>
    <n v="218674"/>
    <x v="57"/>
    <x v="3"/>
    <x v="3"/>
    <x v="12"/>
  </r>
  <r>
    <x v="12"/>
    <x v="0"/>
    <n v="204952"/>
    <x v="56"/>
    <x v="3"/>
    <x v="3"/>
    <x v="12"/>
  </r>
  <r>
    <x v="12"/>
    <x v="0"/>
    <n v="218644"/>
    <x v="63"/>
    <x v="3"/>
    <x v="3"/>
    <x v="12"/>
  </r>
  <r>
    <x v="12"/>
    <x v="0"/>
    <n v="210127"/>
    <x v="41"/>
    <x v="3"/>
    <x v="3"/>
    <x v="12"/>
  </r>
  <r>
    <x v="12"/>
    <x v="0"/>
    <n v="218628"/>
    <x v="76"/>
    <x v="3"/>
    <x v="3"/>
    <x v="12"/>
  </r>
  <r>
    <x v="12"/>
    <x v="0"/>
    <n v="205104"/>
    <x v="51"/>
    <x v="3"/>
    <x v="3"/>
    <x v="12"/>
  </r>
  <r>
    <x v="12"/>
    <x v="0"/>
    <n v="218616"/>
    <x v="86"/>
    <x v="3"/>
    <x v="3"/>
    <x v="12"/>
  </r>
  <r>
    <x v="12"/>
    <x v="0"/>
    <n v="218916"/>
    <x v="17"/>
    <x v="3"/>
    <x v="3"/>
    <x v="12"/>
  </r>
  <r>
    <x v="12"/>
    <x v="0"/>
    <n v="218402"/>
    <x v="101"/>
    <x v="3"/>
    <x v="3"/>
    <x v="12"/>
  </r>
  <r>
    <x v="12"/>
    <x v="0"/>
    <n v="218225"/>
    <x v="1"/>
    <x v="3"/>
    <x v="3"/>
    <x v="12"/>
  </r>
  <r>
    <x v="12"/>
    <x v="0"/>
    <n v="218210"/>
    <x v="69"/>
    <x v="3"/>
    <x v="3"/>
    <x v="12"/>
  </r>
  <r>
    <x v="12"/>
    <x v="0"/>
    <n v="205349"/>
    <x v="39"/>
    <x v="3"/>
    <x v="3"/>
    <x v="12"/>
  </r>
  <r>
    <x v="12"/>
    <x v="0"/>
    <n v="217081"/>
    <x v="13"/>
    <x v="3"/>
    <x v="3"/>
    <x v="12"/>
  </r>
  <r>
    <x v="12"/>
    <x v="0"/>
    <n v="216566"/>
    <x v="96"/>
    <x v="3"/>
    <x v="3"/>
    <x v="12"/>
  </r>
  <r>
    <x v="12"/>
    <x v="0"/>
    <n v="205985"/>
    <x v="27"/>
    <x v="3"/>
    <x v="3"/>
    <x v="12"/>
  </r>
  <r>
    <x v="12"/>
    <x v="0"/>
    <n v="218987"/>
    <x v="8"/>
    <x v="3"/>
    <x v="3"/>
    <x v="12"/>
  </r>
  <r>
    <x v="12"/>
    <x v="0"/>
    <n v="216476"/>
    <x v="94"/>
    <x v="3"/>
    <x v="3"/>
    <x v="12"/>
  </r>
  <r>
    <x v="12"/>
    <x v="0"/>
    <n v="214951"/>
    <x v="78"/>
    <x v="3"/>
    <x v="3"/>
    <x v="12"/>
  </r>
  <r>
    <x v="12"/>
    <x v="0"/>
    <n v="215020"/>
    <x v="72"/>
    <x v="3"/>
    <x v="3"/>
    <x v="12"/>
  </r>
  <r>
    <x v="12"/>
    <x v="0"/>
    <n v="206236"/>
    <x v="22"/>
    <x v="3"/>
    <x v="3"/>
    <x v="12"/>
  </r>
  <r>
    <x v="12"/>
    <x v="0"/>
    <n v="211470"/>
    <x v="53"/>
    <x v="3"/>
    <x v="3"/>
    <x v="12"/>
  </r>
  <r>
    <x v="12"/>
    <x v="0"/>
    <n v="211415"/>
    <x v="50"/>
    <x v="3"/>
    <x v="3"/>
    <x v="12"/>
  </r>
  <r>
    <x v="12"/>
    <x v="0"/>
    <n v="210557"/>
    <x v="47"/>
    <x v="3"/>
    <x v="3"/>
    <x v="12"/>
  </r>
  <r>
    <x v="12"/>
    <x v="0"/>
    <n v="206348"/>
    <x v="4"/>
    <x v="3"/>
    <x v="3"/>
    <x v="12"/>
  </r>
  <r>
    <x v="12"/>
    <x v="0"/>
    <n v="210001"/>
    <x v="36"/>
    <x v="3"/>
    <x v="3"/>
    <x v="12"/>
  </r>
  <r>
    <x v="12"/>
    <x v="0"/>
    <n v="209209"/>
    <x v="32"/>
    <x v="3"/>
    <x v="3"/>
    <x v="12"/>
  </r>
  <r>
    <x v="12"/>
    <x v="0"/>
    <n v="209211"/>
    <x v="33"/>
    <x v="3"/>
    <x v="3"/>
    <x v="12"/>
  </r>
  <r>
    <x v="12"/>
    <x v="0"/>
    <n v="206708"/>
    <x v="7"/>
    <x v="3"/>
    <x v="3"/>
    <x v="12"/>
  </r>
  <r>
    <x v="12"/>
    <x v="0"/>
    <n v="209208"/>
    <x v="30"/>
    <x v="3"/>
    <x v="3"/>
    <x v="12"/>
  </r>
  <r>
    <x v="12"/>
    <x v="0"/>
    <n v="208277"/>
    <x v="25"/>
    <x v="3"/>
    <x v="3"/>
    <x v="12"/>
  </r>
  <r>
    <x v="12"/>
    <x v="0"/>
    <n v="300169"/>
    <x v="5"/>
    <x v="3"/>
    <x v="3"/>
    <x v="12"/>
  </r>
  <r>
    <x v="12"/>
    <x v="0"/>
    <n v="207743"/>
    <x v="20"/>
    <x v="3"/>
    <x v="3"/>
    <x v="12"/>
  </r>
  <r>
    <x v="12"/>
    <x v="0"/>
    <n v="218623"/>
    <x v="65"/>
    <x v="3"/>
    <x v="3"/>
    <x v="12"/>
  </r>
  <r>
    <x v="12"/>
    <x v="0"/>
    <n v="211622"/>
    <x v="82"/>
    <x v="3"/>
    <x v="3"/>
    <x v="12"/>
  </r>
  <r>
    <x v="12"/>
    <x v="0"/>
    <n v="323608"/>
    <x v="31"/>
    <x v="3"/>
    <x v="3"/>
    <x v="12"/>
  </r>
  <r>
    <x v="12"/>
    <x v="0"/>
    <n v="300363"/>
    <x v="11"/>
    <x v="3"/>
    <x v="3"/>
    <x v="12"/>
  </r>
  <r>
    <x v="12"/>
    <x v="0"/>
    <n v="117501"/>
    <x v="84"/>
    <x v="3"/>
    <x v="3"/>
    <x v="12"/>
  </r>
  <r>
    <x v="13"/>
    <x v="0"/>
    <n v="117456"/>
    <x v="80"/>
    <x v="3"/>
    <x v="3"/>
    <x v="13"/>
  </r>
  <r>
    <x v="13"/>
    <x v="0"/>
    <n v="211622"/>
    <x v="82"/>
    <x v="3"/>
    <x v="3"/>
    <x v="13"/>
  </r>
  <r>
    <x v="13"/>
    <x v="0"/>
    <n v="208277"/>
    <x v="25"/>
    <x v="3"/>
    <x v="3"/>
    <x v="13"/>
  </r>
  <r>
    <x v="13"/>
    <x v="0"/>
    <n v="206348"/>
    <x v="4"/>
    <x v="3"/>
    <x v="3"/>
    <x v="13"/>
  </r>
  <r>
    <x v="13"/>
    <x v="0"/>
    <n v="210001"/>
    <x v="36"/>
    <x v="3"/>
    <x v="3"/>
    <x v="13"/>
  </r>
  <r>
    <x v="13"/>
    <x v="0"/>
    <n v="218987"/>
    <x v="8"/>
    <x v="3"/>
    <x v="3"/>
    <x v="13"/>
  </r>
  <r>
    <x v="13"/>
    <x v="0"/>
    <n v="210515"/>
    <x v="43"/>
    <x v="3"/>
    <x v="3"/>
    <x v="13"/>
  </r>
  <r>
    <x v="13"/>
    <x v="0"/>
    <n v="303221"/>
    <x v="38"/>
    <x v="3"/>
    <x v="3"/>
    <x v="13"/>
  </r>
  <r>
    <x v="13"/>
    <x v="0"/>
    <n v="211415"/>
    <x v="50"/>
    <x v="3"/>
    <x v="3"/>
    <x v="13"/>
  </r>
  <r>
    <x v="13"/>
    <x v="0"/>
    <n v="205985"/>
    <x v="27"/>
    <x v="3"/>
    <x v="3"/>
    <x v="13"/>
  </r>
  <r>
    <x v="13"/>
    <x v="0"/>
    <n v="218210"/>
    <x v="69"/>
    <x v="3"/>
    <x v="3"/>
    <x v="13"/>
  </r>
  <r>
    <x v="13"/>
    <x v="0"/>
    <n v="218916"/>
    <x v="17"/>
    <x v="3"/>
    <x v="3"/>
    <x v="13"/>
  </r>
  <r>
    <x v="13"/>
    <x v="0"/>
    <n v="205228"/>
    <x v="44"/>
    <x v="3"/>
    <x v="3"/>
    <x v="13"/>
  </r>
  <r>
    <x v="13"/>
    <x v="0"/>
    <n v="218616"/>
    <x v="86"/>
    <x v="3"/>
    <x v="3"/>
    <x v="13"/>
  </r>
  <r>
    <x v="13"/>
    <x v="0"/>
    <n v="205104"/>
    <x v="51"/>
    <x v="3"/>
    <x v="3"/>
    <x v="13"/>
  </r>
  <r>
    <x v="13"/>
    <x v="0"/>
    <n v="204952"/>
    <x v="56"/>
    <x v="3"/>
    <x v="3"/>
    <x v="13"/>
  </r>
  <r>
    <x v="13"/>
    <x v="0"/>
    <n v="158311"/>
    <x v="60"/>
    <x v="3"/>
    <x v="3"/>
    <x v="13"/>
  </r>
  <r>
    <x v="13"/>
    <x v="0"/>
    <n v="144154"/>
    <x v="93"/>
    <x v="3"/>
    <x v="3"/>
    <x v="13"/>
  </r>
  <r>
    <x v="13"/>
    <x v="0"/>
    <n v="130744"/>
    <x v="97"/>
    <x v="3"/>
    <x v="3"/>
    <x v="13"/>
  </r>
  <r>
    <x v="13"/>
    <x v="0"/>
    <n v="120762"/>
    <x v="103"/>
    <x v="3"/>
    <x v="3"/>
    <x v="13"/>
  </r>
  <r>
    <x v="13"/>
    <x v="0"/>
    <n v="117986"/>
    <x v="92"/>
    <x v="3"/>
    <x v="3"/>
    <x v="13"/>
  </r>
  <r>
    <x v="13"/>
    <x v="0"/>
    <n v="117866"/>
    <x v="87"/>
    <x v="3"/>
    <x v="3"/>
    <x v="13"/>
  </r>
  <r>
    <x v="13"/>
    <x v="0"/>
    <n v="300987"/>
    <x v="59"/>
    <x v="3"/>
    <x v="3"/>
    <x v="13"/>
  </r>
  <r>
    <x v="13"/>
    <x v="0"/>
    <n v="2737"/>
    <x v="62"/>
    <x v="3"/>
    <x v="3"/>
    <x v="13"/>
  </r>
  <r>
    <x v="13"/>
    <x v="0"/>
    <n v="1733"/>
    <x v="37"/>
    <x v="3"/>
    <x v="3"/>
    <x v="13"/>
  </r>
  <r>
    <x v="13"/>
    <x v="0"/>
    <n v="686"/>
    <x v="26"/>
    <x v="3"/>
    <x v="3"/>
    <x v="13"/>
  </r>
  <r>
    <x v="13"/>
    <x v="0"/>
    <n v="301760"/>
    <x v="89"/>
    <x v="3"/>
    <x v="3"/>
    <x v="13"/>
  </r>
  <r>
    <x v="13"/>
    <x v="0"/>
    <n v="507"/>
    <x v="9"/>
    <x v="3"/>
    <x v="3"/>
    <x v="13"/>
  </r>
  <r>
    <x v="13"/>
    <x v="0"/>
    <n v="301805"/>
    <x v="64"/>
    <x v="3"/>
    <x v="3"/>
    <x v="13"/>
  </r>
  <r>
    <x v="13"/>
    <x v="0"/>
    <n v="301920"/>
    <x v="91"/>
    <x v="3"/>
    <x v="3"/>
    <x v="13"/>
  </r>
  <r>
    <x v="13"/>
    <x v="0"/>
    <n v="302335"/>
    <x v="70"/>
    <x v="3"/>
    <x v="3"/>
    <x v="13"/>
  </r>
  <r>
    <x v="13"/>
    <x v="0"/>
    <n v="321932"/>
    <x v="23"/>
    <x v="3"/>
    <x v="3"/>
    <x v="13"/>
  </r>
  <r>
    <x v="13"/>
    <x v="0"/>
    <n v="315199"/>
    <x v="15"/>
    <x v="3"/>
    <x v="3"/>
    <x v="13"/>
  </r>
  <r>
    <x v="13"/>
    <x v="0"/>
    <n v="314137"/>
    <x v="19"/>
    <x v="3"/>
    <x v="3"/>
    <x v="13"/>
  </r>
  <r>
    <x v="13"/>
    <x v="0"/>
    <n v="302856"/>
    <x v="46"/>
    <x v="3"/>
    <x v="3"/>
    <x v="13"/>
  </r>
  <r>
    <x v="13"/>
    <x v="0"/>
    <n v="312617"/>
    <x v="24"/>
    <x v="3"/>
    <x v="3"/>
    <x v="13"/>
  </r>
  <r>
    <x v="13"/>
    <x v="0"/>
    <n v="303219"/>
    <x v="40"/>
    <x v="3"/>
    <x v="3"/>
    <x v="13"/>
  </r>
  <r>
    <x v="13"/>
    <x v="0"/>
    <n v="311895"/>
    <x v="34"/>
    <x v="3"/>
    <x v="3"/>
    <x v="13"/>
  </r>
  <r>
    <x v="13"/>
    <x v="0"/>
    <n v="210127"/>
    <x v="41"/>
    <x v="3"/>
    <x v="3"/>
    <x v="13"/>
  </r>
  <r>
    <x v="13"/>
    <x v="0"/>
    <n v="218674"/>
    <x v="57"/>
    <x v="3"/>
    <x v="3"/>
    <x v="13"/>
  </r>
  <r>
    <x v="13"/>
    <x v="0"/>
    <n v="312259"/>
    <x v="28"/>
    <x v="3"/>
    <x v="3"/>
    <x v="13"/>
  </r>
  <r>
    <x v="13"/>
    <x v="0"/>
    <n v="324108"/>
    <x v="35"/>
    <x v="3"/>
    <x v="3"/>
    <x v="13"/>
  </r>
  <r>
    <x v="13"/>
    <x v="0"/>
    <n v="161003"/>
    <x v="88"/>
    <x v="3"/>
    <x v="3"/>
    <x v="13"/>
  </r>
  <r>
    <x v="13"/>
    <x v="0"/>
    <n v="206968"/>
    <x v="12"/>
    <x v="3"/>
    <x v="3"/>
    <x v="13"/>
  </r>
  <r>
    <x v="13"/>
    <x v="0"/>
    <n v="218732"/>
    <x v="29"/>
    <x v="3"/>
    <x v="3"/>
    <x v="13"/>
  </r>
  <r>
    <x v="13"/>
    <x v="0"/>
    <n v="203631"/>
    <x v="71"/>
    <x v="3"/>
    <x v="3"/>
    <x v="13"/>
  </r>
  <r>
    <x v="13"/>
    <x v="0"/>
    <n v="207404"/>
    <x v="16"/>
    <x v="3"/>
    <x v="3"/>
    <x v="13"/>
  </r>
  <r>
    <x v="13"/>
    <x v="0"/>
    <n v="217678"/>
    <x v="104"/>
    <x v="3"/>
    <x v="3"/>
    <x v="13"/>
  </r>
  <r>
    <x v="13"/>
    <x v="0"/>
    <n v="300219"/>
    <x v="3"/>
    <x v="3"/>
    <x v="3"/>
    <x v="13"/>
  </r>
  <r>
    <x v="13"/>
    <x v="0"/>
    <n v="158751"/>
    <x v="54"/>
    <x v="3"/>
    <x v="3"/>
    <x v="13"/>
  </r>
  <r>
    <x v="13"/>
    <x v="0"/>
    <n v="160030"/>
    <x v="55"/>
    <x v="3"/>
    <x v="3"/>
    <x v="13"/>
  </r>
  <r>
    <x v="13"/>
    <x v="0"/>
    <n v="206298"/>
    <x v="14"/>
    <x v="3"/>
    <x v="3"/>
    <x v="13"/>
  </r>
  <r>
    <x v="13"/>
    <x v="0"/>
    <n v="213849"/>
    <x v="58"/>
    <x v="3"/>
    <x v="3"/>
    <x v="13"/>
  </r>
  <r>
    <x v="13"/>
    <x v="0"/>
    <n v="218623"/>
    <x v="65"/>
    <x v="3"/>
    <x v="3"/>
    <x v="13"/>
  </r>
  <r>
    <x v="13"/>
    <x v="0"/>
    <n v="117442"/>
    <x v="68"/>
    <x v="3"/>
    <x v="3"/>
    <x v="13"/>
  </r>
  <r>
    <x v="13"/>
    <x v="0"/>
    <n v="300862"/>
    <x v="66"/>
    <x v="3"/>
    <x v="3"/>
    <x v="13"/>
  </r>
  <r>
    <x v="13"/>
    <x v="0"/>
    <n v="302737"/>
    <x v="52"/>
    <x v="3"/>
    <x v="3"/>
    <x v="13"/>
  </r>
  <r>
    <x v="13"/>
    <x v="0"/>
    <n v="206708"/>
    <x v="7"/>
    <x v="3"/>
    <x v="3"/>
    <x v="13"/>
  </r>
  <r>
    <x v="13"/>
    <x v="0"/>
    <n v="207743"/>
    <x v="20"/>
    <x v="3"/>
    <x v="3"/>
    <x v="13"/>
  </r>
  <r>
    <x v="13"/>
    <x v="0"/>
    <n v="300571"/>
    <x v="18"/>
    <x v="3"/>
    <x v="3"/>
    <x v="13"/>
  </r>
  <r>
    <x v="13"/>
    <x v="0"/>
    <n v="131643"/>
    <x v="0"/>
    <x v="3"/>
    <x v="3"/>
    <x v="13"/>
  </r>
  <r>
    <x v="13"/>
    <x v="0"/>
    <n v="215020"/>
    <x v="72"/>
    <x v="3"/>
    <x v="3"/>
    <x v="13"/>
  </r>
  <r>
    <x v="13"/>
    <x v="0"/>
    <n v="218225"/>
    <x v="1"/>
    <x v="3"/>
    <x v="3"/>
    <x v="13"/>
  </r>
  <r>
    <x v="13"/>
    <x v="0"/>
    <n v="218628"/>
    <x v="76"/>
    <x v="3"/>
    <x v="3"/>
    <x v="13"/>
  </r>
  <r>
    <x v="13"/>
    <x v="0"/>
    <n v="168458"/>
    <x v="75"/>
    <x v="3"/>
    <x v="3"/>
    <x v="13"/>
  </r>
  <r>
    <x v="13"/>
    <x v="0"/>
    <n v="205349"/>
    <x v="39"/>
    <x v="3"/>
    <x v="3"/>
    <x v="13"/>
  </r>
  <r>
    <x v="13"/>
    <x v="0"/>
    <n v="161520"/>
    <x v="77"/>
    <x v="3"/>
    <x v="3"/>
    <x v="13"/>
  </r>
  <r>
    <x v="13"/>
    <x v="0"/>
    <n v="300169"/>
    <x v="5"/>
    <x v="3"/>
    <x v="3"/>
    <x v="13"/>
  </r>
  <r>
    <x v="13"/>
    <x v="0"/>
    <n v="316646"/>
    <x v="6"/>
    <x v="3"/>
    <x v="3"/>
    <x v="13"/>
  </r>
  <r>
    <x v="13"/>
    <x v="0"/>
    <n v="117230"/>
    <x v="73"/>
    <x v="3"/>
    <x v="3"/>
    <x v="13"/>
  </r>
  <r>
    <x v="13"/>
    <x v="0"/>
    <n v="210557"/>
    <x v="47"/>
    <x v="3"/>
    <x v="3"/>
    <x v="13"/>
  </r>
  <r>
    <x v="13"/>
    <x v="0"/>
    <n v="169872"/>
    <x v="79"/>
    <x v="3"/>
    <x v="3"/>
    <x v="13"/>
  </r>
  <r>
    <x v="13"/>
    <x v="0"/>
    <n v="117819"/>
    <x v="83"/>
    <x v="3"/>
    <x v="3"/>
    <x v="13"/>
  </r>
  <r>
    <x v="13"/>
    <x v="0"/>
    <n v="209208"/>
    <x v="30"/>
    <x v="3"/>
    <x v="3"/>
    <x v="13"/>
  </r>
  <r>
    <x v="13"/>
    <x v="0"/>
    <n v="211470"/>
    <x v="53"/>
    <x v="3"/>
    <x v="3"/>
    <x v="13"/>
  </r>
  <r>
    <x v="13"/>
    <x v="0"/>
    <n v="323608"/>
    <x v="31"/>
    <x v="3"/>
    <x v="3"/>
    <x v="13"/>
  </r>
  <r>
    <x v="13"/>
    <x v="0"/>
    <n v="209211"/>
    <x v="33"/>
    <x v="3"/>
    <x v="3"/>
    <x v="13"/>
  </r>
  <r>
    <x v="13"/>
    <x v="0"/>
    <n v="316879"/>
    <x v="2"/>
    <x v="3"/>
    <x v="3"/>
    <x v="13"/>
  </r>
  <r>
    <x v="13"/>
    <x v="0"/>
    <n v="118535"/>
    <x v="90"/>
    <x v="3"/>
    <x v="3"/>
    <x v="13"/>
  </r>
  <r>
    <x v="13"/>
    <x v="0"/>
    <n v="300711"/>
    <x v="74"/>
    <x v="3"/>
    <x v="3"/>
    <x v="13"/>
  </r>
  <r>
    <x v="13"/>
    <x v="0"/>
    <n v="302769"/>
    <x v="49"/>
    <x v="3"/>
    <x v="3"/>
    <x v="13"/>
  </r>
  <r>
    <x v="13"/>
    <x v="0"/>
    <n v="312807"/>
    <x v="21"/>
    <x v="3"/>
    <x v="3"/>
    <x v="13"/>
  </r>
  <r>
    <x v="13"/>
    <x v="0"/>
    <n v="300363"/>
    <x v="11"/>
    <x v="3"/>
    <x v="3"/>
    <x v="13"/>
  </r>
  <r>
    <x v="13"/>
    <x v="0"/>
    <n v="301809"/>
    <x v="95"/>
    <x v="3"/>
    <x v="3"/>
    <x v="13"/>
  </r>
  <r>
    <x v="13"/>
    <x v="0"/>
    <n v="303189"/>
    <x v="42"/>
    <x v="3"/>
    <x v="3"/>
    <x v="13"/>
  </r>
  <r>
    <x v="13"/>
    <x v="0"/>
    <n v="317470"/>
    <x v="10"/>
    <x v="3"/>
    <x v="3"/>
    <x v="13"/>
  </r>
  <r>
    <x v="13"/>
    <x v="0"/>
    <n v="216566"/>
    <x v="96"/>
    <x v="3"/>
    <x v="3"/>
    <x v="13"/>
  </r>
  <r>
    <x v="13"/>
    <x v="0"/>
    <n v="117501"/>
    <x v="84"/>
    <x v="3"/>
    <x v="3"/>
    <x v="13"/>
  </r>
  <r>
    <x v="13"/>
    <x v="0"/>
    <n v="204939"/>
    <x v="61"/>
    <x v="3"/>
    <x v="3"/>
    <x v="13"/>
  </r>
  <r>
    <x v="13"/>
    <x v="0"/>
    <n v="301229"/>
    <x v="98"/>
    <x v="3"/>
    <x v="3"/>
    <x v="13"/>
  </r>
  <r>
    <x v="13"/>
    <x v="0"/>
    <n v="140302"/>
    <x v="100"/>
    <x v="3"/>
    <x v="3"/>
    <x v="13"/>
  </r>
  <r>
    <x v="13"/>
    <x v="0"/>
    <n v="218698"/>
    <x v="48"/>
    <x v="3"/>
    <x v="3"/>
    <x v="13"/>
  </r>
  <r>
    <x v="13"/>
    <x v="0"/>
    <n v="218402"/>
    <x v="101"/>
    <x v="3"/>
    <x v="3"/>
    <x v="13"/>
  </r>
  <r>
    <x v="13"/>
    <x v="0"/>
    <n v="301983"/>
    <x v="85"/>
    <x v="3"/>
    <x v="3"/>
    <x v="13"/>
  </r>
  <r>
    <x v="13"/>
    <x v="0"/>
    <n v="302988"/>
    <x v="45"/>
    <x v="3"/>
    <x v="3"/>
    <x v="13"/>
  </r>
  <r>
    <x v="13"/>
    <x v="0"/>
    <n v="218644"/>
    <x v="63"/>
    <x v="3"/>
    <x v="3"/>
    <x v="13"/>
  </r>
  <r>
    <x v="13"/>
    <x v="0"/>
    <n v="144649"/>
    <x v="102"/>
    <x v="3"/>
    <x v="3"/>
    <x v="13"/>
  </r>
  <r>
    <x v="13"/>
    <x v="0"/>
    <n v="169537"/>
    <x v="81"/>
    <x v="3"/>
    <x v="3"/>
    <x v="13"/>
  </r>
  <r>
    <x v="13"/>
    <x v="0"/>
    <n v="204615"/>
    <x v="67"/>
    <x v="3"/>
    <x v="3"/>
    <x v="13"/>
  </r>
  <r>
    <x v="13"/>
    <x v="0"/>
    <n v="216476"/>
    <x v="94"/>
    <x v="3"/>
    <x v="3"/>
    <x v="13"/>
  </r>
  <r>
    <x v="13"/>
    <x v="0"/>
    <n v="149445"/>
    <x v="99"/>
    <x v="3"/>
    <x v="3"/>
    <x v="13"/>
  </r>
  <r>
    <x v="13"/>
    <x v="0"/>
    <n v="206236"/>
    <x v="22"/>
    <x v="3"/>
    <x v="3"/>
    <x v="13"/>
  </r>
  <r>
    <x v="13"/>
    <x v="0"/>
    <n v="209209"/>
    <x v="32"/>
    <x v="3"/>
    <x v="3"/>
    <x v="13"/>
  </r>
  <r>
    <x v="13"/>
    <x v="0"/>
    <n v="217081"/>
    <x v="13"/>
    <x v="3"/>
    <x v="3"/>
    <x v="13"/>
  </r>
  <r>
    <x v="13"/>
    <x v="0"/>
    <n v="214951"/>
    <x v="78"/>
    <x v="3"/>
    <x v="3"/>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4E000A-D718-4A14-80AE-080756F3D4F6}" name="CoeffTbl" cacheId="33"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gridDropZones="1" multipleFieldFilters="0" fieldListSortAscending="1">
  <location ref="B7:Q428" firstHeaderRow="1" firstDataRow="2" firstDataCol="2"/>
  <pivotFields count="9">
    <pivotField compact="0" outline="0" showAll="0"/>
    <pivotField dataField="1" compact="0" outline="0" showAll="0"/>
    <pivotField compact="0" outline="0" showAll="0"/>
    <pivotField name="Склад" axis="axisRow" compact="0" outline="0" showAll="0" defaultSubtotal="0">
      <items count="105">
        <item x="8"/>
        <item x="61"/>
        <item x="35"/>
        <item x="22"/>
        <item x="104"/>
        <item x="85"/>
        <item x="10"/>
        <item x="37"/>
        <item x="18"/>
        <item x="92"/>
        <item x="9"/>
        <item x="95"/>
        <item x="97"/>
        <item x="82"/>
        <item x="25"/>
        <item x="64"/>
        <item x="26"/>
        <item x="69"/>
        <item x="24"/>
        <item x="84"/>
        <item x="65"/>
        <item x="98"/>
        <item x="5"/>
        <item x="89"/>
        <item x="62"/>
        <item x="14"/>
        <item x="66"/>
        <item x="2"/>
        <item x="78"/>
        <item x="49"/>
        <item x="79"/>
        <item x="45"/>
        <item x="72"/>
        <item x="52"/>
        <item x="44"/>
        <item x="47"/>
        <item x="94"/>
        <item x="11"/>
        <item x="13"/>
        <item x="43"/>
        <item x="46"/>
        <item x="54"/>
        <item x="102"/>
        <item x="41"/>
        <item x="71"/>
        <item x="3"/>
        <item x="50"/>
        <item x="101"/>
        <item x="76"/>
        <item x="0"/>
        <item x="68"/>
        <item x="58"/>
        <item x="40"/>
        <item x="27"/>
        <item x="70"/>
        <item x="100"/>
        <item x="55"/>
        <item x="33"/>
        <item x="39"/>
        <item x="56"/>
        <item x="90"/>
        <item x="53"/>
        <item x="7"/>
        <item x="77"/>
        <item x="38"/>
        <item x="21"/>
        <item x="75"/>
        <item x="15"/>
        <item x="29"/>
        <item x="96"/>
        <item x="32"/>
        <item x="20"/>
        <item x="60"/>
        <item x="91"/>
        <item x="86"/>
        <item x="73"/>
        <item x="42"/>
        <item x="81"/>
        <item x="93"/>
        <item x="59"/>
        <item x="88"/>
        <item x="30"/>
        <item x="87"/>
        <item x="80"/>
        <item x="67"/>
        <item x="83"/>
        <item x="51"/>
        <item x="74"/>
        <item x="99"/>
        <item x="63"/>
        <item x="17"/>
        <item x="1"/>
        <item x="34"/>
        <item x="57"/>
        <item x="28"/>
        <item x="48"/>
        <item x="16"/>
        <item x="4"/>
        <item x="23"/>
        <item x="12"/>
        <item x="36"/>
        <item x="6"/>
        <item x="103"/>
        <item x="31"/>
        <item x="19"/>
      </items>
      <extLst>
        <ext xmlns:x14="http://schemas.microsoft.com/office/spreadsheetml/2009/9/main" uri="{2946ED86-A175-432a-8AC1-64E0C546D7DE}">
          <x14:pivotField fillDownLabels="1"/>
        </ext>
      </extLst>
    </pivotField>
    <pivotField name="Тип поставки" axis="axisRow" compact="0" outline="0" showAll="0">
      <items count="6">
        <item m="1" x="4"/>
        <item x="1"/>
        <item x="0"/>
        <item x="2"/>
        <item x="3"/>
        <item t="default"/>
      </items>
    </pivotField>
    <pivotField compact="0" outline="0" showAll="0"/>
    <pivotField name="Дата" axis="axisCol" compact="0" numFmtId="164" outline="0" showAll="0">
      <items count="63">
        <item m="1" x="59"/>
        <item m="1" x="60"/>
        <item m="1" x="61"/>
        <item m="1" x="57"/>
        <item m="1" x="58"/>
        <item m="1" x="56"/>
        <item m="1" x="55"/>
        <item m="1" x="54"/>
        <item m="1" x="53"/>
        <item m="1" x="52"/>
        <item m="1" x="51"/>
        <item m="1" x="50"/>
        <item m="1" x="49"/>
        <item m="1" x="48"/>
        <item m="1" x="47"/>
        <item m="1" x="46"/>
        <item m="1" x="45"/>
        <item m="1" x="44"/>
        <item m="1" x="43"/>
        <item m="1" x="42"/>
        <item m="1" x="36"/>
        <item m="1" x="37"/>
        <item m="1" x="38"/>
        <item m="1" x="39"/>
        <item m="1" x="40"/>
        <item m="1" x="41"/>
        <item m="1" x="34"/>
        <item m="1" x="35"/>
        <item m="1" x="33"/>
        <item m="1" x="32"/>
        <item m="1" x="31"/>
        <item m="1" x="30"/>
        <item m="1" x="28"/>
        <item m="1" x="29"/>
        <item m="1" x="27"/>
        <item m="1" x="26"/>
        <item m="1" x="25"/>
        <item m="1" x="24"/>
        <item m="1" x="23"/>
        <item m="1" x="22"/>
        <item m="1" x="21"/>
        <item m="1" x="20"/>
        <item m="1" x="19"/>
        <item m="1" x="18"/>
        <item m="1" x="17"/>
        <item m="1" x="16"/>
        <item m="1" x="15"/>
        <item m="1" x="14"/>
        <item x="0"/>
        <item x="1"/>
        <item x="2"/>
        <item x="3"/>
        <item x="4"/>
        <item x="5"/>
        <item x="6"/>
        <item x="7"/>
        <item x="8"/>
        <item x="9"/>
        <item x="10"/>
        <item x="11"/>
        <item x="12"/>
        <item x="13"/>
        <item t="default"/>
      </items>
    </pivotField>
    <pivotField compact="0" outline="0"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compact="0" outline="0" showAll="0">
      <items count="15">
        <item sd="0" x="0"/>
        <item sd="0" x="1"/>
        <item sd="0" x="2"/>
        <item sd="0" x="3"/>
        <item sd="0" x="4"/>
        <item sd="0" x="5"/>
        <item sd="0" x="6"/>
        <item sd="0" x="7"/>
        <item sd="0" x="8"/>
        <item sd="0" x="9"/>
        <item sd="0" x="10"/>
        <item sd="0" x="11"/>
        <item sd="0" x="12"/>
        <item sd="0" x="13"/>
        <item t="default"/>
      </items>
    </pivotField>
  </pivotFields>
  <rowFields count="2">
    <field x="3"/>
    <field x="4"/>
  </rowFields>
  <rowItems count="420">
    <i>
      <x/>
      <x v="1"/>
    </i>
    <i r="1">
      <x v="2"/>
    </i>
    <i r="1">
      <x v="3"/>
    </i>
    <i r="1">
      <x v="4"/>
    </i>
    <i>
      <x v="1"/>
      <x v="1"/>
    </i>
    <i r="1">
      <x v="2"/>
    </i>
    <i r="1">
      <x v="3"/>
    </i>
    <i r="1">
      <x v="4"/>
    </i>
    <i>
      <x v="2"/>
      <x v="1"/>
    </i>
    <i r="1">
      <x v="2"/>
    </i>
    <i r="1">
      <x v="3"/>
    </i>
    <i r="1">
      <x v="4"/>
    </i>
    <i>
      <x v="3"/>
      <x v="1"/>
    </i>
    <i r="1">
      <x v="2"/>
    </i>
    <i r="1">
      <x v="3"/>
    </i>
    <i r="1">
      <x v="4"/>
    </i>
    <i>
      <x v="4"/>
      <x v="1"/>
    </i>
    <i r="1">
      <x v="2"/>
    </i>
    <i r="1">
      <x v="3"/>
    </i>
    <i r="1">
      <x v="4"/>
    </i>
    <i>
      <x v="5"/>
      <x v="1"/>
    </i>
    <i r="1">
      <x v="2"/>
    </i>
    <i r="1">
      <x v="3"/>
    </i>
    <i r="1">
      <x v="4"/>
    </i>
    <i>
      <x v="6"/>
      <x v="1"/>
    </i>
    <i r="1">
      <x v="2"/>
    </i>
    <i r="1">
      <x v="3"/>
    </i>
    <i r="1">
      <x v="4"/>
    </i>
    <i>
      <x v="7"/>
      <x v="1"/>
    </i>
    <i r="1">
      <x v="2"/>
    </i>
    <i r="1">
      <x v="3"/>
    </i>
    <i r="1">
      <x v="4"/>
    </i>
    <i>
      <x v="8"/>
      <x v="1"/>
    </i>
    <i r="1">
      <x v="2"/>
    </i>
    <i r="1">
      <x v="3"/>
    </i>
    <i r="1">
      <x v="4"/>
    </i>
    <i>
      <x v="9"/>
      <x v="1"/>
    </i>
    <i r="1">
      <x v="2"/>
    </i>
    <i r="1">
      <x v="3"/>
    </i>
    <i r="1">
      <x v="4"/>
    </i>
    <i>
      <x v="10"/>
      <x v="1"/>
    </i>
    <i r="1">
      <x v="2"/>
    </i>
    <i r="1">
      <x v="3"/>
    </i>
    <i r="1">
      <x v="4"/>
    </i>
    <i>
      <x v="11"/>
      <x v="1"/>
    </i>
    <i r="1">
      <x v="2"/>
    </i>
    <i r="1">
      <x v="3"/>
    </i>
    <i r="1">
      <x v="4"/>
    </i>
    <i>
      <x v="12"/>
      <x v="1"/>
    </i>
    <i r="1">
      <x v="2"/>
    </i>
    <i r="1">
      <x v="3"/>
    </i>
    <i r="1">
      <x v="4"/>
    </i>
    <i>
      <x v="13"/>
      <x v="1"/>
    </i>
    <i r="1">
      <x v="2"/>
    </i>
    <i r="1">
      <x v="3"/>
    </i>
    <i r="1">
      <x v="4"/>
    </i>
    <i>
      <x v="14"/>
      <x v="1"/>
    </i>
    <i r="1">
      <x v="2"/>
    </i>
    <i r="1">
      <x v="3"/>
    </i>
    <i r="1">
      <x v="4"/>
    </i>
    <i>
      <x v="15"/>
      <x v="1"/>
    </i>
    <i r="1">
      <x v="2"/>
    </i>
    <i r="1">
      <x v="3"/>
    </i>
    <i r="1">
      <x v="4"/>
    </i>
    <i>
      <x v="16"/>
      <x v="1"/>
    </i>
    <i r="1">
      <x v="2"/>
    </i>
    <i r="1">
      <x v="3"/>
    </i>
    <i r="1">
      <x v="4"/>
    </i>
    <i>
      <x v="17"/>
      <x v="1"/>
    </i>
    <i r="1">
      <x v="2"/>
    </i>
    <i r="1">
      <x v="3"/>
    </i>
    <i r="1">
      <x v="4"/>
    </i>
    <i>
      <x v="18"/>
      <x v="1"/>
    </i>
    <i r="1">
      <x v="2"/>
    </i>
    <i r="1">
      <x v="3"/>
    </i>
    <i r="1">
      <x v="4"/>
    </i>
    <i>
      <x v="19"/>
      <x v="1"/>
    </i>
    <i r="1">
      <x v="2"/>
    </i>
    <i r="1">
      <x v="3"/>
    </i>
    <i r="1">
      <x v="4"/>
    </i>
    <i>
      <x v="20"/>
      <x v="1"/>
    </i>
    <i r="1">
      <x v="2"/>
    </i>
    <i r="1">
      <x v="3"/>
    </i>
    <i r="1">
      <x v="4"/>
    </i>
    <i>
      <x v="21"/>
      <x v="1"/>
    </i>
    <i r="1">
      <x v="2"/>
    </i>
    <i r="1">
      <x v="3"/>
    </i>
    <i r="1">
      <x v="4"/>
    </i>
    <i>
      <x v="22"/>
      <x v="1"/>
    </i>
    <i r="1">
      <x v="2"/>
    </i>
    <i r="1">
      <x v="3"/>
    </i>
    <i r="1">
      <x v="4"/>
    </i>
    <i>
      <x v="23"/>
      <x v="1"/>
    </i>
    <i r="1">
      <x v="2"/>
    </i>
    <i r="1">
      <x v="3"/>
    </i>
    <i r="1">
      <x v="4"/>
    </i>
    <i>
      <x v="24"/>
      <x v="1"/>
    </i>
    <i r="1">
      <x v="2"/>
    </i>
    <i r="1">
      <x v="3"/>
    </i>
    <i r="1">
      <x v="4"/>
    </i>
    <i>
      <x v="25"/>
      <x v="1"/>
    </i>
    <i r="1">
      <x v="2"/>
    </i>
    <i r="1">
      <x v="3"/>
    </i>
    <i r="1">
      <x v="4"/>
    </i>
    <i>
      <x v="26"/>
      <x v="1"/>
    </i>
    <i r="1">
      <x v="2"/>
    </i>
    <i r="1">
      <x v="3"/>
    </i>
    <i r="1">
      <x v="4"/>
    </i>
    <i>
      <x v="27"/>
      <x v="1"/>
    </i>
    <i r="1">
      <x v="2"/>
    </i>
    <i r="1">
      <x v="3"/>
    </i>
    <i r="1">
      <x v="4"/>
    </i>
    <i>
      <x v="28"/>
      <x v="1"/>
    </i>
    <i r="1">
      <x v="2"/>
    </i>
    <i r="1">
      <x v="3"/>
    </i>
    <i r="1">
      <x v="4"/>
    </i>
    <i>
      <x v="29"/>
      <x v="1"/>
    </i>
    <i r="1">
      <x v="2"/>
    </i>
    <i r="1">
      <x v="3"/>
    </i>
    <i r="1">
      <x v="4"/>
    </i>
    <i>
      <x v="30"/>
      <x v="1"/>
    </i>
    <i r="1">
      <x v="2"/>
    </i>
    <i r="1">
      <x v="3"/>
    </i>
    <i r="1">
      <x v="4"/>
    </i>
    <i>
      <x v="31"/>
      <x v="1"/>
    </i>
    <i r="1">
      <x v="2"/>
    </i>
    <i r="1">
      <x v="3"/>
    </i>
    <i r="1">
      <x v="4"/>
    </i>
    <i>
      <x v="32"/>
      <x v="1"/>
    </i>
    <i r="1">
      <x v="2"/>
    </i>
    <i r="1">
      <x v="3"/>
    </i>
    <i r="1">
      <x v="4"/>
    </i>
    <i>
      <x v="33"/>
      <x v="1"/>
    </i>
    <i r="1">
      <x v="2"/>
    </i>
    <i r="1">
      <x v="3"/>
    </i>
    <i r="1">
      <x v="4"/>
    </i>
    <i>
      <x v="34"/>
      <x v="1"/>
    </i>
    <i r="1">
      <x v="2"/>
    </i>
    <i r="1">
      <x v="3"/>
    </i>
    <i r="1">
      <x v="4"/>
    </i>
    <i>
      <x v="35"/>
      <x v="1"/>
    </i>
    <i r="1">
      <x v="2"/>
    </i>
    <i r="1">
      <x v="3"/>
    </i>
    <i r="1">
      <x v="4"/>
    </i>
    <i>
      <x v="36"/>
      <x v="1"/>
    </i>
    <i r="1">
      <x v="2"/>
    </i>
    <i r="1">
      <x v="3"/>
    </i>
    <i r="1">
      <x v="4"/>
    </i>
    <i>
      <x v="37"/>
      <x v="1"/>
    </i>
    <i r="1">
      <x v="2"/>
    </i>
    <i r="1">
      <x v="3"/>
    </i>
    <i r="1">
      <x v="4"/>
    </i>
    <i>
      <x v="38"/>
      <x v="1"/>
    </i>
    <i r="1">
      <x v="2"/>
    </i>
    <i r="1">
      <x v="3"/>
    </i>
    <i r="1">
      <x v="4"/>
    </i>
    <i>
      <x v="39"/>
      <x v="1"/>
    </i>
    <i r="1">
      <x v="2"/>
    </i>
    <i r="1">
      <x v="3"/>
    </i>
    <i r="1">
      <x v="4"/>
    </i>
    <i>
      <x v="40"/>
      <x v="1"/>
    </i>
    <i r="1">
      <x v="2"/>
    </i>
    <i r="1">
      <x v="3"/>
    </i>
    <i r="1">
      <x v="4"/>
    </i>
    <i>
      <x v="41"/>
      <x v="1"/>
    </i>
    <i r="1">
      <x v="2"/>
    </i>
    <i r="1">
      <x v="3"/>
    </i>
    <i r="1">
      <x v="4"/>
    </i>
    <i>
      <x v="42"/>
      <x v="1"/>
    </i>
    <i r="1">
      <x v="2"/>
    </i>
    <i r="1">
      <x v="3"/>
    </i>
    <i r="1">
      <x v="4"/>
    </i>
    <i>
      <x v="43"/>
      <x v="1"/>
    </i>
    <i r="1">
      <x v="2"/>
    </i>
    <i r="1">
      <x v="3"/>
    </i>
    <i r="1">
      <x v="4"/>
    </i>
    <i>
      <x v="44"/>
      <x v="1"/>
    </i>
    <i r="1">
      <x v="2"/>
    </i>
    <i r="1">
      <x v="3"/>
    </i>
    <i r="1">
      <x v="4"/>
    </i>
    <i>
      <x v="45"/>
      <x v="1"/>
    </i>
    <i r="1">
      <x v="2"/>
    </i>
    <i r="1">
      <x v="3"/>
    </i>
    <i r="1">
      <x v="4"/>
    </i>
    <i>
      <x v="46"/>
      <x v="1"/>
    </i>
    <i r="1">
      <x v="2"/>
    </i>
    <i r="1">
      <x v="3"/>
    </i>
    <i r="1">
      <x v="4"/>
    </i>
    <i>
      <x v="47"/>
      <x v="1"/>
    </i>
    <i r="1">
      <x v="2"/>
    </i>
    <i r="1">
      <x v="3"/>
    </i>
    <i r="1">
      <x v="4"/>
    </i>
    <i>
      <x v="48"/>
      <x v="1"/>
    </i>
    <i r="1">
      <x v="2"/>
    </i>
    <i r="1">
      <x v="3"/>
    </i>
    <i r="1">
      <x v="4"/>
    </i>
    <i>
      <x v="49"/>
      <x v="1"/>
    </i>
    <i r="1">
      <x v="2"/>
    </i>
    <i r="1">
      <x v="3"/>
    </i>
    <i r="1">
      <x v="4"/>
    </i>
    <i>
      <x v="50"/>
      <x v="1"/>
    </i>
    <i r="1">
      <x v="2"/>
    </i>
    <i r="1">
      <x v="3"/>
    </i>
    <i r="1">
      <x v="4"/>
    </i>
    <i>
      <x v="51"/>
      <x v="1"/>
    </i>
    <i r="1">
      <x v="2"/>
    </i>
    <i r="1">
      <x v="3"/>
    </i>
    <i r="1">
      <x v="4"/>
    </i>
    <i>
      <x v="52"/>
      <x v="1"/>
    </i>
    <i r="1">
      <x v="2"/>
    </i>
    <i r="1">
      <x v="3"/>
    </i>
    <i r="1">
      <x v="4"/>
    </i>
    <i>
      <x v="53"/>
      <x v="1"/>
    </i>
    <i r="1">
      <x v="2"/>
    </i>
    <i r="1">
      <x v="3"/>
    </i>
    <i r="1">
      <x v="4"/>
    </i>
    <i>
      <x v="54"/>
      <x v="1"/>
    </i>
    <i r="1">
      <x v="2"/>
    </i>
    <i r="1">
      <x v="3"/>
    </i>
    <i r="1">
      <x v="4"/>
    </i>
    <i>
      <x v="55"/>
      <x v="1"/>
    </i>
    <i r="1">
      <x v="2"/>
    </i>
    <i r="1">
      <x v="3"/>
    </i>
    <i r="1">
      <x v="4"/>
    </i>
    <i>
      <x v="56"/>
      <x v="1"/>
    </i>
    <i r="1">
      <x v="2"/>
    </i>
    <i r="1">
      <x v="3"/>
    </i>
    <i r="1">
      <x v="4"/>
    </i>
    <i>
      <x v="57"/>
      <x v="1"/>
    </i>
    <i r="1">
      <x v="2"/>
    </i>
    <i r="1">
      <x v="3"/>
    </i>
    <i r="1">
      <x v="4"/>
    </i>
    <i>
      <x v="58"/>
      <x v="1"/>
    </i>
    <i r="1">
      <x v="2"/>
    </i>
    <i r="1">
      <x v="3"/>
    </i>
    <i r="1">
      <x v="4"/>
    </i>
    <i>
      <x v="59"/>
      <x v="1"/>
    </i>
    <i r="1">
      <x v="2"/>
    </i>
    <i r="1">
      <x v="3"/>
    </i>
    <i r="1">
      <x v="4"/>
    </i>
    <i>
      <x v="60"/>
      <x v="1"/>
    </i>
    <i r="1">
      <x v="2"/>
    </i>
    <i r="1">
      <x v="3"/>
    </i>
    <i r="1">
      <x v="4"/>
    </i>
    <i>
      <x v="61"/>
      <x v="1"/>
    </i>
    <i r="1">
      <x v="2"/>
    </i>
    <i r="1">
      <x v="3"/>
    </i>
    <i r="1">
      <x v="4"/>
    </i>
    <i>
      <x v="62"/>
      <x v="1"/>
    </i>
    <i r="1">
      <x v="2"/>
    </i>
    <i r="1">
      <x v="3"/>
    </i>
    <i r="1">
      <x v="4"/>
    </i>
    <i>
      <x v="63"/>
      <x v="1"/>
    </i>
    <i r="1">
      <x v="2"/>
    </i>
    <i r="1">
      <x v="3"/>
    </i>
    <i r="1">
      <x v="4"/>
    </i>
    <i>
      <x v="64"/>
      <x v="1"/>
    </i>
    <i r="1">
      <x v="2"/>
    </i>
    <i r="1">
      <x v="3"/>
    </i>
    <i r="1">
      <x v="4"/>
    </i>
    <i>
      <x v="65"/>
      <x v="1"/>
    </i>
    <i r="1">
      <x v="2"/>
    </i>
    <i r="1">
      <x v="3"/>
    </i>
    <i r="1">
      <x v="4"/>
    </i>
    <i>
      <x v="66"/>
      <x v="1"/>
    </i>
    <i r="1">
      <x v="2"/>
    </i>
    <i r="1">
      <x v="3"/>
    </i>
    <i r="1">
      <x v="4"/>
    </i>
    <i>
      <x v="67"/>
      <x v="1"/>
    </i>
    <i r="1">
      <x v="2"/>
    </i>
    <i r="1">
      <x v="3"/>
    </i>
    <i r="1">
      <x v="4"/>
    </i>
    <i>
      <x v="68"/>
      <x v="1"/>
    </i>
    <i r="1">
      <x v="2"/>
    </i>
    <i r="1">
      <x v="3"/>
    </i>
    <i r="1">
      <x v="4"/>
    </i>
    <i>
      <x v="69"/>
      <x v="1"/>
    </i>
    <i r="1">
      <x v="2"/>
    </i>
    <i r="1">
      <x v="3"/>
    </i>
    <i r="1">
      <x v="4"/>
    </i>
    <i>
      <x v="70"/>
      <x v="1"/>
    </i>
    <i r="1">
      <x v="2"/>
    </i>
    <i r="1">
      <x v="3"/>
    </i>
    <i r="1">
      <x v="4"/>
    </i>
    <i>
      <x v="71"/>
      <x v="1"/>
    </i>
    <i r="1">
      <x v="2"/>
    </i>
    <i r="1">
      <x v="3"/>
    </i>
    <i r="1">
      <x v="4"/>
    </i>
    <i>
      <x v="72"/>
      <x v="1"/>
    </i>
    <i r="1">
      <x v="2"/>
    </i>
    <i r="1">
      <x v="3"/>
    </i>
    <i r="1">
      <x v="4"/>
    </i>
    <i>
      <x v="73"/>
      <x v="1"/>
    </i>
    <i r="1">
      <x v="2"/>
    </i>
    <i r="1">
      <x v="3"/>
    </i>
    <i r="1">
      <x v="4"/>
    </i>
    <i>
      <x v="74"/>
      <x v="1"/>
    </i>
    <i r="1">
      <x v="2"/>
    </i>
    <i r="1">
      <x v="3"/>
    </i>
    <i r="1">
      <x v="4"/>
    </i>
    <i>
      <x v="75"/>
      <x v="1"/>
    </i>
    <i r="1">
      <x v="2"/>
    </i>
    <i r="1">
      <x v="3"/>
    </i>
    <i r="1">
      <x v="4"/>
    </i>
    <i>
      <x v="76"/>
      <x v="1"/>
    </i>
    <i r="1">
      <x v="2"/>
    </i>
    <i r="1">
      <x v="3"/>
    </i>
    <i r="1">
      <x v="4"/>
    </i>
    <i>
      <x v="77"/>
      <x v="1"/>
    </i>
    <i r="1">
      <x v="2"/>
    </i>
    <i r="1">
      <x v="3"/>
    </i>
    <i r="1">
      <x v="4"/>
    </i>
    <i>
      <x v="78"/>
      <x v="1"/>
    </i>
    <i r="1">
      <x v="2"/>
    </i>
    <i r="1">
      <x v="3"/>
    </i>
    <i r="1">
      <x v="4"/>
    </i>
    <i>
      <x v="79"/>
      <x v="1"/>
    </i>
    <i r="1">
      <x v="2"/>
    </i>
    <i r="1">
      <x v="3"/>
    </i>
    <i r="1">
      <x v="4"/>
    </i>
    <i>
      <x v="80"/>
      <x v="1"/>
    </i>
    <i r="1">
      <x v="2"/>
    </i>
    <i r="1">
      <x v="3"/>
    </i>
    <i r="1">
      <x v="4"/>
    </i>
    <i>
      <x v="81"/>
      <x v="1"/>
    </i>
    <i r="1">
      <x v="2"/>
    </i>
    <i r="1">
      <x v="3"/>
    </i>
    <i r="1">
      <x v="4"/>
    </i>
    <i>
      <x v="82"/>
      <x v="1"/>
    </i>
    <i r="1">
      <x v="2"/>
    </i>
    <i r="1">
      <x v="3"/>
    </i>
    <i r="1">
      <x v="4"/>
    </i>
    <i>
      <x v="83"/>
      <x v="1"/>
    </i>
    <i r="1">
      <x v="2"/>
    </i>
    <i r="1">
      <x v="3"/>
    </i>
    <i r="1">
      <x v="4"/>
    </i>
    <i>
      <x v="84"/>
      <x v="1"/>
    </i>
    <i r="1">
      <x v="2"/>
    </i>
    <i r="1">
      <x v="3"/>
    </i>
    <i r="1">
      <x v="4"/>
    </i>
    <i>
      <x v="85"/>
      <x v="1"/>
    </i>
    <i r="1">
      <x v="2"/>
    </i>
    <i r="1">
      <x v="3"/>
    </i>
    <i r="1">
      <x v="4"/>
    </i>
    <i>
      <x v="86"/>
      <x v="1"/>
    </i>
    <i r="1">
      <x v="2"/>
    </i>
    <i r="1">
      <x v="3"/>
    </i>
    <i r="1">
      <x v="4"/>
    </i>
    <i>
      <x v="87"/>
      <x v="1"/>
    </i>
    <i r="1">
      <x v="2"/>
    </i>
    <i r="1">
      <x v="3"/>
    </i>
    <i r="1">
      <x v="4"/>
    </i>
    <i>
      <x v="88"/>
      <x v="1"/>
    </i>
    <i r="1">
      <x v="2"/>
    </i>
    <i r="1">
      <x v="3"/>
    </i>
    <i r="1">
      <x v="4"/>
    </i>
    <i>
      <x v="89"/>
      <x v="1"/>
    </i>
    <i r="1">
      <x v="2"/>
    </i>
    <i r="1">
      <x v="3"/>
    </i>
    <i r="1">
      <x v="4"/>
    </i>
    <i>
      <x v="90"/>
      <x v="1"/>
    </i>
    <i r="1">
      <x v="2"/>
    </i>
    <i r="1">
      <x v="3"/>
    </i>
    <i r="1">
      <x v="4"/>
    </i>
    <i>
      <x v="91"/>
      <x v="1"/>
    </i>
    <i r="1">
      <x v="2"/>
    </i>
    <i r="1">
      <x v="3"/>
    </i>
    <i r="1">
      <x v="4"/>
    </i>
    <i>
      <x v="92"/>
      <x v="1"/>
    </i>
    <i r="1">
      <x v="2"/>
    </i>
    <i r="1">
      <x v="3"/>
    </i>
    <i r="1">
      <x v="4"/>
    </i>
    <i>
      <x v="93"/>
      <x v="1"/>
    </i>
    <i r="1">
      <x v="2"/>
    </i>
    <i r="1">
      <x v="3"/>
    </i>
    <i r="1">
      <x v="4"/>
    </i>
    <i>
      <x v="94"/>
      <x v="1"/>
    </i>
    <i r="1">
      <x v="2"/>
    </i>
    <i r="1">
      <x v="3"/>
    </i>
    <i r="1">
      <x v="4"/>
    </i>
    <i>
      <x v="95"/>
      <x v="1"/>
    </i>
    <i r="1">
      <x v="2"/>
    </i>
    <i r="1">
      <x v="3"/>
    </i>
    <i r="1">
      <x v="4"/>
    </i>
    <i>
      <x v="96"/>
      <x v="1"/>
    </i>
    <i r="1">
      <x v="2"/>
    </i>
    <i r="1">
      <x v="3"/>
    </i>
    <i r="1">
      <x v="4"/>
    </i>
    <i>
      <x v="97"/>
      <x v="1"/>
    </i>
    <i r="1">
      <x v="2"/>
    </i>
    <i r="1">
      <x v="3"/>
    </i>
    <i r="1">
      <x v="4"/>
    </i>
    <i>
      <x v="98"/>
      <x v="1"/>
    </i>
    <i r="1">
      <x v="2"/>
    </i>
    <i r="1">
      <x v="3"/>
    </i>
    <i r="1">
      <x v="4"/>
    </i>
    <i>
      <x v="99"/>
      <x v="1"/>
    </i>
    <i r="1">
      <x v="2"/>
    </i>
    <i r="1">
      <x v="3"/>
    </i>
    <i r="1">
      <x v="4"/>
    </i>
    <i>
      <x v="100"/>
      <x v="1"/>
    </i>
    <i r="1">
      <x v="2"/>
    </i>
    <i r="1">
      <x v="3"/>
    </i>
    <i r="1">
      <x v="4"/>
    </i>
    <i>
      <x v="101"/>
      <x v="1"/>
    </i>
    <i r="1">
      <x v="2"/>
    </i>
    <i r="1">
      <x v="3"/>
    </i>
    <i r="1">
      <x v="4"/>
    </i>
    <i>
      <x v="102"/>
      <x v="1"/>
    </i>
    <i r="1">
      <x v="2"/>
    </i>
    <i r="1">
      <x v="3"/>
    </i>
    <i r="1">
      <x v="4"/>
    </i>
    <i>
      <x v="103"/>
      <x v="1"/>
    </i>
    <i r="1">
      <x v="2"/>
    </i>
    <i r="1">
      <x v="3"/>
    </i>
    <i r="1">
      <x v="4"/>
    </i>
    <i>
      <x v="104"/>
      <x v="1"/>
    </i>
    <i r="1">
      <x v="2"/>
    </i>
    <i r="1">
      <x v="3"/>
    </i>
    <i r="1">
      <x v="4"/>
    </i>
  </rowItems>
  <colFields count="1">
    <field x="6"/>
  </colFields>
  <colItems count="14">
    <i>
      <x v="48"/>
    </i>
    <i>
      <x v="49"/>
    </i>
    <i>
      <x v="50"/>
    </i>
    <i>
      <x v="51"/>
    </i>
    <i>
      <x v="52"/>
    </i>
    <i>
      <x v="53"/>
    </i>
    <i>
      <x v="54"/>
    </i>
    <i>
      <x v="55"/>
    </i>
    <i>
      <x v="56"/>
    </i>
    <i>
      <x v="57"/>
    </i>
    <i>
      <x v="58"/>
    </i>
    <i>
      <x v="59"/>
    </i>
    <i>
      <x v="60"/>
    </i>
    <i>
      <x v="61"/>
    </i>
  </colItems>
  <dataFields count="1">
    <dataField name="Коэффициенты" fld="1" baseField="0" baseItem="0"/>
  </dataFields>
  <formats count="11">
    <format dxfId="24">
      <pivotArea type="all" dataOnly="0" outline="0" fieldPosition="0"/>
    </format>
    <format dxfId="23">
      <pivotArea outline="0" collapsedLevelsAreSubtotals="1" fieldPosition="0"/>
    </format>
    <format dxfId="22">
      <pivotArea type="origin" dataOnly="0" labelOnly="1" outline="0" fieldPosition="0"/>
    </format>
    <format dxfId="21">
      <pivotArea field="7" type="button" dataOnly="0" labelOnly="1" outline="0"/>
    </format>
    <format dxfId="20">
      <pivotArea field="6" type="button" dataOnly="0" labelOnly="1" outline="0" axis="axisCol" fieldPosition="0"/>
    </format>
    <format dxfId="19">
      <pivotArea type="topRight" dataOnly="0" labelOnly="1" outline="0" fieldPosition="0"/>
    </format>
    <format dxfId="18">
      <pivotArea field="3" type="button" dataOnly="0" labelOnly="1" outline="0" axis="axisRow" fieldPosition="0"/>
    </format>
    <format dxfId="17">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
      <pivotArea dataOnly="0" labelOnly="1" outline="0" fieldPosition="0">
        <references count="1">
          <reference field="3" count="3">
            <x v="100"/>
            <x v="101"/>
            <x v="102"/>
          </reference>
        </references>
      </pivotArea>
    </format>
    <format dxfId="14">
      <pivotArea outline="0" collapsedLevelsAreSubtotals="1" fieldPosition="0"/>
    </format>
  </formats>
  <conditionalFormats count="4">
    <conditionalFormat priority="3">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 priority="10">
      <pivotAreas count="1">
        <pivotArea type="data" outline="0" collapsedLevelsAreSubtotals="1" fieldPosition="0">
          <references count="1">
            <reference field="4294967294" count="1" selected="0">
              <x v="0"/>
            </reference>
          </references>
        </pivotArea>
      </pivotAreas>
    </conditionalFormat>
  </conditionalFormats>
  <pivotTableStyleInfo name="PivotStyleDark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F6817B0-4768-4A2F-AAF5-048018D9A76B}" autoFormatId="16" applyNumberFormats="0" applyBorderFormats="0" applyFontFormats="0" applyPatternFormats="0" applyAlignmentFormats="0" applyWidthHeightFormats="0">
  <queryTableRefresh nextId="3">
    <queryTableFields count="2">
      <queryTableField id="1" name="Column1.chat_id" tableColumnId="1"/>
      <queryTableField id="2" name="Column1.status"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B150B38-9804-4AC1-9D78-5C5421732324}" autoFormatId="16" applyNumberFormats="0" applyBorderFormats="0" applyFontFormats="0" applyPatternFormats="0" applyAlignmentFormats="0" applyWidthHeightFormats="0">
  <queryTableRefresh nextId="3">
    <queryTableFields count="2">
      <queryTableField id="1" name="warehouseName" tableColumnId="1"/>
      <queryTableField id="2" name="boxTypeName" tableColumnId="2"/>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Задача" xr10:uid="{B967ABFA-2B9E-4596-AA1F-20A169421C42}" sourceName="Задача">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Доступность" xr10:uid="{E20E04C5-038E-45A7-BFFE-06440D91D6BA}" sourceName="Доступность">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Задача" xr10:uid="{45EA9A12-0BCE-4023-BF74-D1EA8EEA48A2}" cache="Slicer_Задача" caption="Задача" showCaption="0" rowHeight="249238"/>
  <slicer name="Доступность" xr10:uid="{A167BDA5-4D07-4A39-B849-4621E5E4EA13}" cache="Slicer_Доступность" caption="Доступность" showCaption="0" rowHeight="249238"/>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3C6D70-820F-4C05-9F12-5756D32EBA3D}" name="StatTbl" displayName="StatTbl" ref="S8:W428" totalsRowShown="0">
  <autoFilter ref="S8:W428" xr:uid="{1C3C6D70-820F-4C05-9F12-5756D32EBA3D}"/>
  <tableColumns count="5">
    <tableColumn id="2" xr3:uid="{8B090C03-DEAB-4111-BE60-889CB13E1B74}" name="Задача" dataDxfId="13">
      <calculatedColumnFormula>IF(_xlfn.XLOOKUP(StatTbl[[#This Row],[Join]],TargetSlots[Join],TargetSlots[Join],"Не найдено")&lt;&gt;"Не найдено","Ищем","Не ищем")</calculatedColumnFormula>
    </tableColumn>
    <tableColumn id="1" xr3:uid="{DF9A8B13-D52C-45F6-9D28-BC390E4CB2B3}" name="Доступность" dataDxfId="12">
      <calculatedColumnFormula>IF(COUNTIFS(OFFSET(D9:$Q9,0,SearchDay-1,,15-SearchDay),"&lt;="&amp; ValidC,OFFSET(D9:$Q9,0,SearchDay-1,,15-SearchDay),"&gt;-1")&gt;0,"Есть слот!","Ничего")</calculatedColumnFormula>
    </tableColumn>
    <tableColumn id="3" xr3:uid="{A4D0BED3-E6FB-4376-9C57-57DB03DF8EC0}" name="Кол-во слотов" dataDxfId="11">
      <calculatedColumnFormula>IF(S9="Ищем",IF(StatTbl[[#This Row],[Доступность]]="Есть слот!",COUNTIFS(OFFSET(D9:$Q9,0,SearchDay-1),"&lt;="&amp; ValidC,OFFSET(D9:$Q9,0,SearchDay-1),"&gt;-1"),0),0)</calculatedColumnFormula>
    </tableColumn>
    <tableColumn id="4" xr3:uid="{CBE988AF-370B-400D-B0A9-C7962EE3FC6A}" name="Текст" dataDxfId="10">
      <calculatedColumnFormula array="1">IF(StatTbl[[#This Row],[Кол-во слотов]]&gt;0, B9&amp;" "&amp;C9&amp;" "&amp;_xlfn.TEXTJOIN(", ",FALSE,TEXT(_xlfn._xlws.FILTER(OFFSET($D$8:$Q$8,0,SearchDay-1,,15-SearchDay),(OFFSET(D9:Q9,0,SearchDay-1,,15-SearchDay)&gt;-1)*(OFFSET(D9:Q9,0,SearchDay-1,,15-SearchDay)&lt;=ValidC)),"ДД/ММ")),"")</calculatedColumnFormula>
    </tableColumn>
    <tableColumn id="5" xr3:uid="{65412A6B-BEC4-46B7-BD1A-51B634665F39}" name="Join" dataDxfId="9">
      <calculatedColumnFormula>B9&amp;C9</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B7FC03-C5B7-4C61-91DC-6C0C6642215D}" name="TargetSlots" displayName="TargetSlots" ref="B3:F6" totalsRowShown="0" headerRowDxfId="7" dataDxfId="6">
  <autoFilter ref="B3:F6" xr:uid="{9FB7FC03-C5B7-4C61-91DC-6C0C6642215D}"/>
  <tableColumns count="5">
    <tableColumn id="1" xr3:uid="{0D99CAC4-A246-45A1-93F3-4E141B7A9726}" name="Склад" dataDxfId="5"/>
    <tableColumn id="2" xr3:uid="{6DB9E5DE-57A4-4FE1-8E42-1F3DA35D02CB}" name="Тип" dataDxfId="4"/>
    <tableColumn id="3" xr3:uid="{1BC60506-087D-4DC0-A12C-FA4A9ABAE017}" name="Join" dataDxfId="3">
      <calculatedColumnFormula>TargetSlots[[#This Row],[Склад]]&amp;TargetSlots[[#This Row],[Тип]]</calculatedColumnFormula>
    </tableColumn>
    <tableColumn id="4" xr3:uid="{C5E69629-BCC6-4AF5-B050-9541121F4682}" name="Check" dataDxfId="2">
      <calculatedColumnFormula>IF(_xlfn.XLOOKUP(TargetSlots[[#This Row],[Join]],StatTbl[Join],StatTbl[Join],"Не найдено")="Не найдено",0,1)</calculatedColumnFormula>
    </tableColumn>
    <tableColumn id="6" xr3:uid="{5469362E-5B99-484F-9FDB-0FEBF0DB2297}" name="Комментарий" dataDxfId="1">
      <calculatedColumnFormula>IF(TargetSlots[[#This Row],[Check]]=0,"Cклад/Тип не найден или скрыт фильтрами","Всё ок, ищем")</calculatedColumnFormula>
    </tableColumn>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B0E8D4-5486-4CFE-BB4D-51221BE3AB33}" name="SendTGbot" displayName="SendTGbot" ref="A1:B2" tableType="queryTable" totalsRowShown="0">
  <autoFilter ref="A1:B2" xr:uid="{E2B0E8D4-5486-4CFE-BB4D-51221BE3AB33}"/>
  <tableColumns count="2">
    <tableColumn id="1" xr3:uid="{843D018B-6004-49D3-A197-9D0965B60B3C}" uniqueName="1" name="Column1.chat_id" queryTableFieldId="1"/>
    <tableColumn id="2" xr3:uid="{A5E496F3-EF8C-4289-ACDC-897060F53CF3}" uniqueName="2" name="Column1.status"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4DD27A-C84E-4FFD-AF97-ACE3B45B5030}" name="Warehouses" displayName="Warehouses" ref="I3:J423" tableType="queryTable" totalsRowShown="0">
  <autoFilter ref="I3:J423" xr:uid="{D64DD27A-C84E-4FFD-AF97-ACE3B45B5030}"/>
  <tableColumns count="2">
    <tableColumn id="1" xr3:uid="{B2327C48-7E1C-46F0-AD80-F3BCE2F479E7}" uniqueName="1" name="warehouseName" queryTableFieldId="1"/>
    <tableColumn id="2" xr3:uid="{55BFFF2A-A223-4316-80F1-1D8957AF21F4}" uniqueName="2" name="boxTypeName"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2D897-0C38-4A12-94EB-27061E2F6C8D}">
  <sheetPr codeName="Sheet6"/>
  <dimension ref="A1:B53"/>
  <sheetViews>
    <sheetView workbookViewId="0">
      <pane ySplit="1" topLeftCell="A2" activePane="bottomLeft" state="frozen"/>
      <selection pane="bottomLeft" activeCell="B1" sqref="B1"/>
    </sheetView>
  </sheetViews>
  <sheetFormatPr defaultRowHeight="14.25" x14ac:dyDescent="0.45"/>
  <cols>
    <col min="1" max="1" width="4.1328125" style="24" customWidth="1"/>
    <col min="2" max="2" width="103.73046875" customWidth="1"/>
  </cols>
  <sheetData>
    <row r="1" spans="1:2" s="21" customFormat="1" ht="28.25" customHeight="1" x14ac:dyDescent="0.45">
      <c r="A1" s="23"/>
      <c r="B1" s="20" t="s">
        <v>157</v>
      </c>
    </row>
    <row r="2" spans="1:2" ht="18" x14ac:dyDescent="0.55000000000000004">
      <c r="B2" s="3"/>
    </row>
    <row r="3" spans="1:2" ht="18" x14ac:dyDescent="0.55000000000000004">
      <c r="B3" s="19" t="s">
        <v>153</v>
      </c>
    </row>
    <row r="5" spans="1:2" x14ac:dyDescent="0.45">
      <c r="B5" t="s">
        <v>151</v>
      </c>
    </row>
    <row r="7" spans="1:2" ht="18" x14ac:dyDescent="0.55000000000000004">
      <c r="B7" s="19" t="s">
        <v>154</v>
      </c>
    </row>
    <row r="9" spans="1:2" x14ac:dyDescent="0.45">
      <c r="A9" s="24">
        <v>1</v>
      </c>
      <c r="B9" t="s">
        <v>146</v>
      </c>
    </row>
    <row r="10" spans="1:2" x14ac:dyDescent="0.45">
      <c r="A10" s="24">
        <v>2</v>
      </c>
      <c r="B10" t="s">
        <v>147</v>
      </c>
    </row>
    <row r="11" spans="1:2" x14ac:dyDescent="0.45">
      <c r="A11" s="24">
        <v>3</v>
      </c>
      <c r="B11" t="s">
        <v>141</v>
      </c>
    </row>
    <row r="12" spans="1:2" x14ac:dyDescent="0.45">
      <c r="A12" s="24">
        <v>4</v>
      </c>
      <c r="B12" t="s">
        <v>142</v>
      </c>
    </row>
    <row r="13" spans="1:2" x14ac:dyDescent="0.45">
      <c r="A13" s="24">
        <v>5</v>
      </c>
      <c r="B13" t="s">
        <v>145</v>
      </c>
    </row>
    <row r="14" spans="1:2" x14ac:dyDescent="0.45">
      <c r="A14" s="24">
        <v>6</v>
      </c>
      <c r="B14" t="s">
        <v>148</v>
      </c>
    </row>
    <row r="15" spans="1:2" x14ac:dyDescent="0.45">
      <c r="A15" s="24">
        <v>7</v>
      </c>
      <c r="B15" t="s">
        <v>149</v>
      </c>
    </row>
    <row r="16" spans="1:2" x14ac:dyDescent="0.45">
      <c r="A16" s="24">
        <v>8</v>
      </c>
      <c r="B16" t="s">
        <v>143</v>
      </c>
    </row>
    <row r="18" spans="1:2" ht="18" x14ac:dyDescent="0.55000000000000004">
      <c r="B18" s="19" t="s">
        <v>155</v>
      </c>
    </row>
    <row r="20" spans="1:2" x14ac:dyDescent="0.45">
      <c r="A20" s="24">
        <v>1</v>
      </c>
      <c r="B20" t="s">
        <v>150</v>
      </c>
    </row>
    <row r="21" spans="1:2" x14ac:dyDescent="0.45">
      <c r="A21" s="24">
        <v>2</v>
      </c>
      <c r="B21" t="s">
        <v>144</v>
      </c>
    </row>
    <row r="22" spans="1:2" x14ac:dyDescent="0.45">
      <c r="A22" s="24">
        <v>3</v>
      </c>
      <c r="B22" t="s">
        <v>162</v>
      </c>
    </row>
    <row r="23" spans="1:2" x14ac:dyDescent="0.45">
      <c r="A23" s="24">
        <v>4</v>
      </c>
      <c r="B23" s="17" t="s">
        <v>152</v>
      </c>
    </row>
    <row r="24" spans="1:2" ht="28.5" x14ac:dyDescent="0.45">
      <c r="A24" s="24">
        <v>5</v>
      </c>
      <c r="B24" s="18" t="s">
        <v>163</v>
      </c>
    </row>
    <row r="26" spans="1:2" ht="18" x14ac:dyDescent="0.55000000000000004">
      <c r="B26" s="19" t="s">
        <v>164</v>
      </c>
    </row>
    <row r="28" spans="1:2" x14ac:dyDescent="0.45">
      <c r="A28" s="24">
        <v>1</v>
      </c>
      <c r="B28" s="18" t="s">
        <v>165</v>
      </c>
    </row>
    <row r="29" spans="1:2" x14ac:dyDescent="0.45">
      <c r="B29" s="25" t="s">
        <v>166</v>
      </c>
    </row>
    <row r="30" spans="1:2" x14ac:dyDescent="0.45">
      <c r="A30" s="24">
        <v>2</v>
      </c>
      <c r="B30" s="18" t="s">
        <v>167</v>
      </c>
    </row>
    <row r="31" spans="1:2" x14ac:dyDescent="0.45">
      <c r="B31" s="25" t="s">
        <v>168</v>
      </c>
    </row>
    <row r="32" spans="1:2" x14ac:dyDescent="0.45">
      <c r="A32" s="24">
        <v>3</v>
      </c>
      <c r="B32" s="18" t="s">
        <v>169</v>
      </c>
    </row>
    <row r="33" spans="1:2" x14ac:dyDescent="0.45">
      <c r="A33" s="24">
        <v>4</v>
      </c>
      <c r="B33" s="18" t="s">
        <v>170</v>
      </c>
    </row>
    <row r="34" spans="1:2" ht="28.5" x14ac:dyDescent="0.45">
      <c r="A34" s="24">
        <v>5</v>
      </c>
      <c r="B34" s="18" t="s">
        <v>171</v>
      </c>
    </row>
    <row r="35" spans="1:2" ht="57" x14ac:dyDescent="0.45">
      <c r="A35" s="24">
        <v>6</v>
      </c>
      <c r="B35" s="26" t="s">
        <v>172</v>
      </c>
    </row>
    <row r="37" spans="1:2" ht="18" x14ac:dyDescent="0.55000000000000004">
      <c r="B37" s="19" t="s">
        <v>156</v>
      </c>
    </row>
    <row r="39" spans="1:2" ht="71.25" x14ac:dyDescent="0.45">
      <c r="B39" s="18" t="s">
        <v>176</v>
      </c>
    </row>
    <row r="41" spans="1:2" ht="57" x14ac:dyDescent="0.45">
      <c r="B41" s="18" t="s">
        <v>177</v>
      </c>
    </row>
    <row r="43" spans="1:2" ht="28.5" x14ac:dyDescent="0.45">
      <c r="B43" s="18" t="s">
        <v>178</v>
      </c>
    </row>
    <row r="45" spans="1:2" ht="71.25" x14ac:dyDescent="0.45">
      <c r="B45" s="18" t="s">
        <v>179</v>
      </c>
    </row>
    <row r="46" spans="1:2" x14ac:dyDescent="0.45">
      <c r="B46" s="18"/>
    </row>
    <row r="47" spans="1:2" ht="42.75" x14ac:dyDescent="0.45">
      <c r="B47" s="18" t="s">
        <v>175</v>
      </c>
    </row>
    <row r="49" spans="2:2" ht="18" x14ac:dyDescent="0.55000000000000004">
      <c r="B49" s="19" t="s">
        <v>173</v>
      </c>
    </row>
    <row r="50" spans="2:2" ht="18" x14ac:dyDescent="0.55000000000000004">
      <c r="B50" s="27"/>
    </row>
    <row r="51" spans="2:2" ht="42.75" x14ac:dyDescent="0.45">
      <c r="B51" s="26" t="s">
        <v>174</v>
      </c>
    </row>
    <row r="53" spans="2:2" ht="205.5" customHeight="1" x14ac:dyDescent="0.45">
      <c r="B53" t="e" vm="1">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4C139-EBF6-4E0C-AD2C-C2F7DD8A2C97}">
  <sheetPr codeName="Sheet1"/>
  <dimension ref="B1:AB428"/>
  <sheetViews>
    <sheetView tabSelected="1" zoomScale="85" zoomScaleNormal="85" workbookViewId="0">
      <pane ySplit="8" topLeftCell="A9" activePane="bottomLeft" state="frozen"/>
      <selection pane="bottomLeft" activeCell="B1" sqref="B1"/>
    </sheetView>
  </sheetViews>
  <sheetFormatPr defaultRowHeight="14.25" outlineLevelCol="1" x14ac:dyDescent="0.45"/>
  <cols>
    <col min="1" max="1" width="2.9296875" customWidth="1"/>
    <col min="2" max="2" width="17.06640625" customWidth="1"/>
    <col min="3" max="3" width="13.86328125" customWidth="1"/>
    <col min="4" max="17" width="6.06640625" customWidth="1"/>
    <col min="18" max="18" width="3.19921875" customWidth="1"/>
    <col min="19" max="19" width="11.59765625" hidden="1" customWidth="1" outlineLevel="1"/>
    <col min="20" max="20" width="10.53125" hidden="1" customWidth="1" outlineLevel="1"/>
    <col min="21" max="21" width="4.6640625" hidden="1" customWidth="1" outlineLevel="1"/>
    <col min="22" max="22" width="17" hidden="1" customWidth="1" outlineLevel="1"/>
    <col min="23" max="23" width="23.06640625" hidden="1" customWidth="1" outlineLevel="1"/>
    <col min="24" max="24" width="12.06640625" bestFit="1" customWidth="1" collapsed="1"/>
    <col min="25" max="25" width="6.1328125" customWidth="1"/>
    <col min="26" max="26" width="13.796875" customWidth="1"/>
    <col min="27" max="27" width="13.6640625" customWidth="1"/>
    <col min="28" max="28" width="6.1328125" customWidth="1"/>
    <col min="29" max="29" width="10" customWidth="1"/>
  </cols>
  <sheetData>
    <row r="1" spans="2:25" s="21" customFormat="1" ht="28.25" customHeight="1" x14ac:dyDescent="0.45">
      <c r="B1" s="20" t="s">
        <v>114</v>
      </c>
      <c r="Q1" s="28" t="str" cm="1">
        <f t="array" ref="Q1">IF(OR(Notify=1,Notify=3)=TRUE,_xlfn.TEXTJOIN(" ", TRUE, IFERROR(IF(AND(TgChatId="", WBNewApi=""), "Укажите ВБ API и Telegram Chat ID", IFERROR(_xlfn.IFS(TgChatId="","Укажите свой Telegram Chat ID", WBNewApi = "", "Укажите ВБ API"),"")), "")),IF(WBNewApi = "", "Укажите ВБ API",""))</f>
        <v>Укажите ВБ API и Telegram Chat ID</v>
      </c>
      <c r="S1" s="32" t="s">
        <v>185</v>
      </c>
      <c r="V1" s="31" t="str">
        <f ca="1">_xlfn.TEXTJOIN("; ",TRUE,StatTbl[Текст])</f>
        <v/>
      </c>
      <c r="W1" s="22">
        <f>IF(AutoSearchSlots=TRUE,1,0)</f>
        <v>0</v>
      </c>
    </row>
    <row r="2" spans="2:25" x14ac:dyDescent="0.45">
      <c r="B2" t="s">
        <v>189</v>
      </c>
      <c r="C2" s="1"/>
      <c r="F2" s="15">
        <f>COUNTIF(D9:Q1003,0)</f>
        <v>108</v>
      </c>
      <c r="G2" t="s">
        <v>115</v>
      </c>
      <c r="S2" s="7">
        <v>420</v>
      </c>
      <c r="V2" s="7" t="b" cm="1">
        <f t="array" aca="1" ref="V2" ca="1">D3AlertOnChange(FindMessage)</f>
        <v>1</v>
      </c>
      <c r="W2" s="7" t="b">
        <v>0</v>
      </c>
    </row>
    <row r="3" spans="2:25" x14ac:dyDescent="0.45">
      <c r="B3" t="s">
        <v>116</v>
      </c>
      <c r="C3" s="8">
        <v>1</v>
      </c>
      <c r="D3" t="str" cm="1">
        <f t="array" ref="D3">_xlfn.IFS(RIGHT(SearchInt)="1","минуту",RIGHT(SearchInt)="2","минуты",RIGHT(SearchInt)="3","минуты",RIGHT(SearchInt)="4","минуты",RIGHT(SearchInt)="5","минут",RIGHT(SearchInt)="6","минут",RIGHT(SearchInt)="7","минут",RIGHT(SearchInt)="8","минут",RIGHT(SearchInt)="9","минут",RIGHT(SearchInt)="0","минут")</f>
        <v>минуту</v>
      </c>
      <c r="F3" s="16">
        <f>IF(COUNTIF(StatTbl[Задача],"Ищем")&gt;0,COUNTIF(StatTbl[Задача],"Ищем"),0)</f>
        <v>3</v>
      </c>
      <c r="G3" t="s">
        <v>127</v>
      </c>
      <c r="W3" s="5"/>
    </row>
    <row r="4" spans="2:25" x14ac:dyDescent="0.45">
      <c r="B4" t="s">
        <v>139</v>
      </c>
      <c r="F4" s="16">
        <f ca="1">IF(COUNTIF(StatTbl[Кол-во слотов],"&gt;0")&gt;0,COUNTIF(StatTbl[Кол-во слотов],"&gt;0"),0)</f>
        <v>0</v>
      </c>
      <c r="G4" t="s">
        <v>128</v>
      </c>
      <c r="Y4" s="14"/>
    </row>
    <row r="5" spans="2:25" x14ac:dyDescent="0.45">
      <c r="B5" t="s">
        <v>129</v>
      </c>
      <c r="C5" s="9"/>
      <c r="F5" s="8">
        <v>4</v>
      </c>
      <c r="G5" t="s">
        <v>133</v>
      </c>
      <c r="T5" s="14"/>
      <c r="Y5" s="14"/>
    </row>
    <row r="7" spans="2:25" x14ac:dyDescent="0.45">
      <c r="B7" s="11" t="s">
        <v>140</v>
      </c>
      <c r="C7" s="12"/>
      <c r="D7" s="11" t="s">
        <v>113</v>
      </c>
      <c r="E7" s="12"/>
      <c r="F7" s="12"/>
      <c r="G7" s="12"/>
      <c r="H7" s="12"/>
      <c r="I7" s="12"/>
      <c r="J7" s="12"/>
      <c r="K7" s="12"/>
      <c r="L7" s="12"/>
      <c r="M7" s="12"/>
      <c r="N7" s="12"/>
      <c r="O7" s="12"/>
      <c r="P7" s="12"/>
      <c r="Q7" s="12"/>
    </row>
    <row r="8" spans="2:25" x14ac:dyDescent="0.45">
      <c r="B8" s="11" t="s">
        <v>0</v>
      </c>
      <c r="C8" s="11" t="s">
        <v>112</v>
      </c>
      <c r="D8" s="13">
        <v>45582</v>
      </c>
      <c r="E8" s="13">
        <v>45583</v>
      </c>
      <c r="F8" s="13">
        <v>45584</v>
      </c>
      <c r="G8" s="13">
        <v>45585</v>
      </c>
      <c r="H8" s="13">
        <v>45586</v>
      </c>
      <c r="I8" s="13">
        <v>45587</v>
      </c>
      <c r="J8" s="13">
        <v>45588</v>
      </c>
      <c r="K8" s="13">
        <v>45589</v>
      </c>
      <c r="L8" s="13">
        <v>45590</v>
      </c>
      <c r="M8" s="13">
        <v>45591</v>
      </c>
      <c r="N8" s="13">
        <v>45592</v>
      </c>
      <c r="O8" s="13">
        <v>45593</v>
      </c>
      <c r="P8" s="13">
        <v>45594</v>
      </c>
      <c r="Q8" s="13">
        <v>45595</v>
      </c>
      <c r="S8" s="5" t="s">
        <v>117</v>
      </c>
      <c r="T8" t="s">
        <v>118</v>
      </c>
      <c r="U8" t="s">
        <v>119</v>
      </c>
      <c r="V8" t="s">
        <v>120</v>
      </c>
      <c r="W8" t="s">
        <v>3</v>
      </c>
    </row>
    <row r="9" spans="2:25" x14ac:dyDescent="0.45">
      <c r="B9" s="12" t="s">
        <v>8</v>
      </c>
      <c r="C9" s="12" t="s">
        <v>109</v>
      </c>
      <c r="D9" s="35">
        <v>0</v>
      </c>
      <c r="E9" s="35">
        <v>20</v>
      </c>
      <c r="F9" s="35">
        <v>20</v>
      </c>
      <c r="G9" s="35">
        <v>20</v>
      </c>
      <c r="H9" s="35">
        <v>20</v>
      </c>
      <c r="I9" s="35">
        <v>20</v>
      </c>
      <c r="J9" s="35">
        <v>20</v>
      </c>
      <c r="K9" s="35">
        <v>20</v>
      </c>
      <c r="L9" s="35">
        <v>20</v>
      </c>
      <c r="M9" s="35">
        <v>20</v>
      </c>
      <c r="N9" s="35">
        <v>20</v>
      </c>
      <c r="O9" s="35">
        <v>20</v>
      </c>
      <c r="P9" s="35">
        <v>20</v>
      </c>
      <c r="Q9" s="35">
        <v>20</v>
      </c>
      <c r="S9" s="5" t="str">
        <f>IF(_xlfn.XLOOKUP(StatTbl[[#This Row],[Join]],TargetSlots[Join],TargetSlots[Join],"Не найдено")&lt;&gt;"Не найдено","Ищем","Не ищем")</f>
        <v>Не ищем</v>
      </c>
      <c r="T9" s="4" t="str">
        <f ca="1">IF(COUNTIFS(OFFSET(D9:$Q9,0,SearchDay-1,,15-SearchDay),"&lt;="&amp; ValidC,OFFSET(D9:$Q9,0,SearchDay-1,,15-SearchDay),"&gt;-1")&gt;0,"Есть слот!","Ничего")</f>
        <v>Есть слот!</v>
      </c>
      <c r="U9">
        <f ca="1">IF(S9="Ищем",IF(StatTbl[[#This Row],[Доступность]]="Есть слот!",COUNTIFS(OFFSET(D9:$Q9,0,SearchDay-1),"&lt;="&amp; ValidC,OFFSET(D9:$Q9,0,SearchDay-1),"&gt;-1"),0),0)</f>
        <v>0</v>
      </c>
      <c r="V9" t="str" cm="1">
        <f t="array" aca="1" ref="V9" ca="1">IF(StatTbl[[#This Row],[Кол-во слотов]]&gt;0, B9&amp;" "&amp;C9&amp;" "&amp;_xlfn.TEXTJOIN(", ",FALSE,TEXT(_xlfn._xlws.FILTER(OFFSET($D$8:$Q$8,0,SearchDay-1,,15-SearchDay),(OFFSET(D9:Q9,0,SearchDay-1,,15-SearchDay)&gt;-1)*(OFFSET(D9:Q9,0,SearchDay-1,,15-SearchDay)&lt;=ValidC)),"ДД/ММ")),"")</f>
        <v/>
      </c>
      <c r="W9" t="str">
        <f t="shared" ref="W9:W72" si="0">B9&amp;C9</f>
        <v>Алматы АтакентКороба</v>
      </c>
    </row>
    <row r="10" spans="2:25" x14ac:dyDescent="0.45">
      <c r="B10" s="12" t="s">
        <v>8</v>
      </c>
      <c r="C10" s="12" t="s">
        <v>110</v>
      </c>
      <c r="D10" s="35">
        <v>0</v>
      </c>
      <c r="E10" s="35">
        <v>0</v>
      </c>
      <c r="F10" s="35">
        <v>0</v>
      </c>
      <c r="G10" s="35">
        <v>0</v>
      </c>
      <c r="H10" s="35">
        <v>0</v>
      </c>
      <c r="I10" s="35">
        <v>20</v>
      </c>
      <c r="J10" s="35">
        <v>20</v>
      </c>
      <c r="K10" s="35">
        <v>20</v>
      </c>
      <c r="L10" s="35">
        <v>20</v>
      </c>
      <c r="M10" s="35">
        <v>20</v>
      </c>
      <c r="N10" s="35">
        <v>20</v>
      </c>
      <c r="O10" s="35">
        <v>20</v>
      </c>
      <c r="P10" s="35">
        <v>20</v>
      </c>
      <c r="Q10" s="35">
        <v>20</v>
      </c>
      <c r="S10" s="5" t="str">
        <f>IF(_xlfn.XLOOKUP(StatTbl[[#This Row],[Join]],TargetSlots[Join],TargetSlots[Join],"Не найдено")&lt;&gt;"Не найдено","Ищем","Не ищем")</f>
        <v>Не ищем</v>
      </c>
      <c r="T10" s="4" t="str">
        <f ca="1">IF(COUNTIFS(OFFSET(D10:$Q10,0,SearchDay-1,,15-SearchDay),"&lt;="&amp; ValidC,OFFSET(D10:$Q10,0,SearchDay-1,,15-SearchDay),"&gt;-1")&gt;0,"Есть слот!","Ничего")</f>
        <v>Есть слот!</v>
      </c>
      <c r="U10">
        <f ca="1">IF(S10="Ищем",IF(StatTbl[[#This Row],[Доступность]]="Есть слот!",COUNTIFS(OFFSET(D10:$Q10,0,SearchDay-1),"&lt;="&amp; ValidC,OFFSET(D10:$Q10,0,SearchDay-1),"&gt;-1"),0),0)</f>
        <v>0</v>
      </c>
      <c r="V10" t="str" cm="1">
        <f t="array" aca="1" ref="V10" ca="1">IF(StatTbl[[#This Row],[Кол-во слотов]]&gt;0, B10&amp;" "&amp;C10&amp;" "&amp;_xlfn.TEXTJOIN(", ",FALSE,TEXT(_xlfn._xlws.FILTER(OFFSET($D$8:$Q$8,0,SearchDay-1,,15-SearchDay),(OFFSET(D10:Q10,0,SearchDay-1,,15-SearchDay)&gt;-1)*(OFFSET(D10:Q10,0,SearchDay-1,,15-SearchDay)&lt;=ValidC)),"ДД/ММ")),"")</f>
        <v/>
      </c>
      <c r="W10" t="str">
        <f t="shared" si="0"/>
        <v>Алматы АтакентМонопаллеты</v>
      </c>
    </row>
    <row r="11" spans="2:25" x14ac:dyDescent="0.45">
      <c r="B11" s="12" t="s">
        <v>8</v>
      </c>
      <c r="C11" s="12" t="s">
        <v>6</v>
      </c>
      <c r="D11" s="35">
        <v>0</v>
      </c>
      <c r="E11" s="35">
        <v>0</v>
      </c>
      <c r="F11" s="35">
        <v>0</v>
      </c>
      <c r="G11" s="35">
        <v>0</v>
      </c>
      <c r="H11" s="35">
        <v>0</v>
      </c>
      <c r="I11" s="35">
        <v>0</v>
      </c>
      <c r="J11" s="35">
        <v>0</v>
      </c>
      <c r="K11" s="35">
        <v>0</v>
      </c>
      <c r="L11" s="35">
        <v>0</v>
      </c>
      <c r="M11" s="35">
        <v>0</v>
      </c>
      <c r="N11" s="35">
        <v>0</v>
      </c>
      <c r="O11" s="35">
        <v>0</v>
      </c>
      <c r="P11" s="35">
        <v>0</v>
      </c>
      <c r="Q11" s="35">
        <v>0</v>
      </c>
      <c r="S11" s="5" t="str">
        <f>IF(_xlfn.XLOOKUP(StatTbl[[#This Row],[Join]],TargetSlots[Join],TargetSlots[Join],"Не найдено")&lt;&gt;"Не найдено","Ищем","Не ищем")</f>
        <v>Не ищем</v>
      </c>
      <c r="T11" s="4" t="str">
        <f ca="1">IF(COUNTIFS(OFFSET(D11:$Q11,0,SearchDay-1,,15-SearchDay),"&lt;="&amp; ValidC,OFFSET(D11:$Q11,0,SearchDay-1,,15-SearchDay),"&gt;-1")&gt;0,"Есть слот!","Ничего")</f>
        <v>Есть слот!</v>
      </c>
      <c r="U11">
        <f ca="1">IF(S11="Ищем",IF(StatTbl[[#This Row],[Доступность]]="Есть слот!",COUNTIFS(OFFSET(D11:$Q11,0,SearchDay-1),"&lt;="&amp; ValidC,OFFSET(D11:$Q11,0,SearchDay-1),"&gt;-1"),0),0)</f>
        <v>0</v>
      </c>
      <c r="V11" t="str" cm="1">
        <f t="array" aca="1" ref="V11" ca="1">IF(StatTbl[[#This Row],[Кол-во слотов]]&gt;0, B11&amp;" "&amp;C11&amp;" "&amp;_xlfn.TEXTJOIN(", ",FALSE,TEXT(_xlfn._xlws.FILTER(OFFSET($D$8:$Q$8,0,SearchDay-1,,15-SearchDay),(OFFSET(D11:Q11,0,SearchDay-1,,15-SearchDay)&gt;-1)*(OFFSET(D11:Q11,0,SearchDay-1,,15-SearchDay)&lt;=ValidC)),"ДД/ММ")),"")</f>
        <v/>
      </c>
      <c r="W11" t="str">
        <f t="shared" si="0"/>
        <v>Алматы АтакентСуперсейф</v>
      </c>
    </row>
    <row r="12" spans="2:25" x14ac:dyDescent="0.45">
      <c r="B12" s="12" t="s">
        <v>8</v>
      </c>
      <c r="C12" s="12" t="s">
        <v>111</v>
      </c>
      <c r="D12" s="35">
        <v>20</v>
      </c>
      <c r="E12" s="35">
        <v>20</v>
      </c>
      <c r="F12" s="35">
        <v>20</v>
      </c>
      <c r="G12" s="35">
        <v>20</v>
      </c>
      <c r="H12" s="35">
        <v>20</v>
      </c>
      <c r="I12" s="35">
        <v>20</v>
      </c>
      <c r="J12" s="35">
        <v>20</v>
      </c>
      <c r="K12" s="35">
        <v>20</v>
      </c>
      <c r="L12" s="35">
        <v>20</v>
      </c>
      <c r="M12" s="35">
        <v>20</v>
      </c>
      <c r="N12" s="35">
        <v>20</v>
      </c>
      <c r="O12" s="35">
        <v>-1</v>
      </c>
      <c r="P12" s="35">
        <v>-1</v>
      </c>
      <c r="Q12" s="35">
        <v>-1</v>
      </c>
      <c r="S12" s="5" t="str">
        <f>IF(_xlfn.XLOOKUP(StatTbl[[#This Row],[Join]],TargetSlots[Join],TargetSlots[Join],"Не найдено")&lt;&gt;"Не найдено","Ищем","Не ищем")</f>
        <v>Не ищем</v>
      </c>
      <c r="T12" s="4" t="str">
        <f ca="1">IF(COUNTIFS(OFFSET(D12:$Q12,0,SearchDay-1,,15-SearchDay),"&lt;="&amp; ValidC,OFFSET(D12:$Q12,0,SearchDay-1,,15-SearchDay),"&gt;-1")&gt;0,"Есть слот!","Ничего")</f>
        <v>Ничего</v>
      </c>
      <c r="U12">
        <f ca="1">IF(S12="Ищем",IF(StatTbl[[#This Row],[Доступность]]="Есть слот!",COUNTIFS(OFFSET(D12:$Q12,0,SearchDay-1),"&lt;="&amp; ValidC,OFFSET(D12:$Q12,0,SearchDay-1),"&gt;-1"),0),0)</f>
        <v>0</v>
      </c>
      <c r="V12" t="str" cm="1">
        <f t="array" aca="1" ref="V12" ca="1">IF(StatTbl[[#This Row],[Кол-во слотов]]&gt;0, B12&amp;" "&amp;C12&amp;" "&amp;_xlfn.TEXTJOIN(", ",FALSE,TEXT(_xlfn._xlws.FILTER(OFFSET($D$8:$Q$8,0,SearchDay-1,,15-SearchDay),(OFFSET(D12:Q12,0,SearchDay-1,,15-SearchDay)&gt;-1)*(OFFSET(D12:Q12,0,SearchDay-1,,15-SearchDay)&lt;=ValidC)),"ДД/ММ")),"")</f>
        <v/>
      </c>
      <c r="W12" t="str">
        <f t="shared" si="0"/>
        <v>Алматы АтакентQR-поставка</v>
      </c>
    </row>
    <row r="13" spans="2:25" x14ac:dyDescent="0.45">
      <c r="B13" s="12" t="s">
        <v>9</v>
      </c>
      <c r="C13" s="12" t="s">
        <v>109</v>
      </c>
      <c r="D13" s="35">
        <v>-1</v>
      </c>
      <c r="E13" s="35">
        <v>-1</v>
      </c>
      <c r="F13" s="35">
        <v>-1</v>
      </c>
      <c r="G13" s="35">
        <v>-1</v>
      </c>
      <c r="H13" s="35">
        <v>-1</v>
      </c>
      <c r="I13" s="35">
        <v>-1</v>
      </c>
      <c r="J13" s="35">
        <v>-1</v>
      </c>
      <c r="K13" s="35">
        <v>-1</v>
      </c>
      <c r="L13" s="35">
        <v>-1</v>
      </c>
      <c r="M13" s="35">
        <v>-1</v>
      </c>
      <c r="N13" s="35">
        <v>-1</v>
      </c>
      <c r="O13" s="35">
        <v>-1</v>
      </c>
      <c r="P13" s="35">
        <v>-1</v>
      </c>
      <c r="Q13" s="35">
        <v>-1</v>
      </c>
      <c r="S13" s="5" t="str">
        <f>IF(_xlfn.XLOOKUP(StatTbl[[#This Row],[Join]],TargetSlots[Join],TargetSlots[Join],"Не найдено")&lt;&gt;"Не найдено","Ищем","Не ищем")</f>
        <v>Не ищем</v>
      </c>
      <c r="T13" s="4" t="str">
        <f ca="1">IF(COUNTIFS(OFFSET(D13:$Q13,0,SearchDay-1,,15-SearchDay),"&lt;="&amp; ValidC,OFFSET(D13:$Q13,0,SearchDay-1,,15-SearchDay),"&gt;-1")&gt;0,"Есть слот!","Ничего")</f>
        <v>Ничего</v>
      </c>
      <c r="U13">
        <f ca="1">IF(S13="Ищем",IF(StatTbl[[#This Row],[Доступность]]="Есть слот!",COUNTIFS(OFFSET(D13:$Q13,0,SearchDay-1),"&lt;="&amp; ValidC,OFFSET(D13:$Q13,0,SearchDay-1),"&gt;-1"),0),0)</f>
        <v>0</v>
      </c>
      <c r="V13" t="str" cm="1">
        <f t="array" aca="1" ref="V13" ca="1">IF(StatTbl[[#This Row],[Кол-во слотов]]&gt;0, B13&amp;" "&amp;C13&amp;" "&amp;_xlfn.TEXTJOIN(", ",FALSE,TEXT(_xlfn._xlws.FILTER(OFFSET($D$8:$Q$8,0,SearchDay-1,,15-SearchDay),(OFFSET(D13:Q13,0,SearchDay-1,,15-SearchDay)&gt;-1)*(OFFSET(D13:Q13,0,SearchDay-1,,15-SearchDay)&lt;=ValidC)),"ДД/ММ")),"")</f>
        <v/>
      </c>
      <c r="W13" t="str">
        <f t="shared" si="0"/>
        <v>АстанаКороба</v>
      </c>
    </row>
    <row r="14" spans="2:25" x14ac:dyDescent="0.45">
      <c r="B14" s="12" t="s">
        <v>9</v>
      </c>
      <c r="C14" s="12" t="s">
        <v>110</v>
      </c>
      <c r="D14" s="35">
        <v>-1</v>
      </c>
      <c r="E14" s="35">
        <v>-1</v>
      </c>
      <c r="F14" s="35">
        <v>-1</v>
      </c>
      <c r="G14" s="35">
        <v>-1</v>
      </c>
      <c r="H14" s="35">
        <v>-1</v>
      </c>
      <c r="I14" s="35">
        <v>-1</v>
      </c>
      <c r="J14" s="35">
        <v>-1</v>
      </c>
      <c r="K14" s="35">
        <v>-1</v>
      </c>
      <c r="L14" s="35">
        <v>-1</v>
      </c>
      <c r="M14" s="35">
        <v>-1</v>
      </c>
      <c r="N14" s="35">
        <v>-1</v>
      </c>
      <c r="O14" s="35">
        <v>-1</v>
      </c>
      <c r="P14" s="35">
        <v>-1</v>
      </c>
      <c r="Q14" s="35">
        <v>-1</v>
      </c>
      <c r="S14" s="5" t="str">
        <f>IF(_xlfn.XLOOKUP(StatTbl[[#This Row],[Join]],TargetSlots[Join],TargetSlots[Join],"Не найдено")&lt;&gt;"Не найдено","Ищем","Не ищем")</f>
        <v>Не ищем</v>
      </c>
      <c r="T14" s="4" t="str">
        <f ca="1">IF(COUNTIFS(OFFSET(D14:$Q14,0,SearchDay-1,,15-SearchDay),"&lt;="&amp; ValidC,OFFSET(D14:$Q14,0,SearchDay-1,,15-SearchDay),"&gt;-1")&gt;0,"Есть слот!","Ничего")</f>
        <v>Ничего</v>
      </c>
      <c r="U14">
        <f ca="1">IF(S14="Ищем",IF(StatTbl[[#This Row],[Доступность]]="Есть слот!",COUNTIFS(OFFSET(D14:$Q14,0,SearchDay-1),"&lt;="&amp; ValidC,OFFSET(D14:$Q14,0,SearchDay-1),"&gt;-1"),0),0)</f>
        <v>0</v>
      </c>
      <c r="V14" t="str" cm="1">
        <f t="array" aca="1" ref="V14" ca="1">IF(StatTbl[[#This Row],[Кол-во слотов]]&gt;0, B14&amp;" "&amp;C14&amp;" "&amp;_xlfn.TEXTJOIN(", ",FALSE,TEXT(_xlfn._xlws.FILTER(OFFSET($D$8:$Q$8,0,SearchDay-1,,15-SearchDay),(OFFSET(D14:Q14,0,SearchDay-1,,15-SearchDay)&gt;-1)*(OFFSET(D14:Q14,0,SearchDay-1,,15-SearchDay)&lt;=ValidC)),"ДД/ММ")),"")</f>
        <v/>
      </c>
      <c r="W14" t="str">
        <f t="shared" si="0"/>
        <v>АстанаМонопаллеты</v>
      </c>
    </row>
    <row r="15" spans="2:25" x14ac:dyDescent="0.45">
      <c r="B15" s="12" t="s">
        <v>9</v>
      </c>
      <c r="C15" s="12" t="s">
        <v>6</v>
      </c>
      <c r="D15" s="35">
        <v>-1</v>
      </c>
      <c r="E15" s="35">
        <v>-1</v>
      </c>
      <c r="F15" s="35">
        <v>-1</v>
      </c>
      <c r="G15" s="35">
        <v>-1</v>
      </c>
      <c r="H15" s="35">
        <v>-1</v>
      </c>
      <c r="I15" s="35">
        <v>-1</v>
      </c>
      <c r="J15" s="35">
        <v>-1</v>
      </c>
      <c r="K15" s="35">
        <v>-1</v>
      </c>
      <c r="L15" s="35">
        <v>-1</v>
      </c>
      <c r="M15" s="35">
        <v>-1</v>
      </c>
      <c r="N15" s="35">
        <v>-1</v>
      </c>
      <c r="O15" s="35">
        <v>-1</v>
      </c>
      <c r="P15" s="35">
        <v>-1</v>
      </c>
      <c r="Q15" s="35">
        <v>-1</v>
      </c>
      <c r="S15" s="5" t="str">
        <f>IF(_xlfn.XLOOKUP(StatTbl[[#This Row],[Join]],TargetSlots[Join],TargetSlots[Join],"Не найдено")&lt;&gt;"Не найдено","Ищем","Не ищем")</f>
        <v>Не ищем</v>
      </c>
      <c r="T15" s="4" t="str">
        <f ca="1">IF(COUNTIFS(OFFSET(D15:$Q15,0,SearchDay-1,,15-SearchDay),"&lt;="&amp; ValidC,OFFSET(D15:$Q15,0,SearchDay-1,,15-SearchDay),"&gt;-1")&gt;0,"Есть слот!","Ничего")</f>
        <v>Ничего</v>
      </c>
      <c r="U15">
        <f ca="1">IF(S15="Ищем",IF(StatTbl[[#This Row],[Доступность]]="Есть слот!",COUNTIFS(OFFSET(D15:$Q15,0,SearchDay-1),"&lt;="&amp; ValidC,OFFSET(D15:$Q15,0,SearchDay-1),"&gt;-1"),0),0)</f>
        <v>0</v>
      </c>
      <c r="V15" t="str" cm="1">
        <f t="array" aca="1" ref="V15" ca="1">IF(StatTbl[[#This Row],[Кол-во слотов]]&gt;0, B15&amp;" "&amp;C15&amp;" "&amp;_xlfn.TEXTJOIN(", ",FALSE,TEXT(_xlfn._xlws.FILTER(OFFSET($D$8:$Q$8,0,SearchDay-1,,15-SearchDay),(OFFSET(D15:Q15,0,SearchDay-1,,15-SearchDay)&gt;-1)*(OFFSET(D15:Q15,0,SearchDay-1,,15-SearchDay)&lt;=ValidC)),"ДД/ММ")),"")</f>
        <v/>
      </c>
      <c r="W15" t="str">
        <f t="shared" si="0"/>
        <v>АстанаСуперсейф</v>
      </c>
    </row>
    <row r="16" spans="2:25" x14ac:dyDescent="0.45">
      <c r="B16" s="12" t="s">
        <v>9</v>
      </c>
      <c r="C16" s="12" t="s">
        <v>111</v>
      </c>
      <c r="D16" s="35">
        <v>-1</v>
      </c>
      <c r="E16" s="35">
        <v>-1</v>
      </c>
      <c r="F16" s="35">
        <v>-1</v>
      </c>
      <c r="G16" s="35">
        <v>-1</v>
      </c>
      <c r="H16" s="35">
        <v>-1</v>
      </c>
      <c r="I16" s="35">
        <v>-1</v>
      </c>
      <c r="J16" s="35">
        <v>-1</v>
      </c>
      <c r="K16" s="35">
        <v>-1</v>
      </c>
      <c r="L16" s="35">
        <v>-1</v>
      </c>
      <c r="M16" s="35">
        <v>-1</v>
      </c>
      <c r="N16" s="35">
        <v>-1</v>
      </c>
      <c r="O16" s="35">
        <v>-1</v>
      </c>
      <c r="P16" s="35">
        <v>-1</v>
      </c>
      <c r="Q16" s="35">
        <v>-1</v>
      </c>
      <c r="S16" s="5" t="str">
        <f>IF(_xlfn.XLOOKUP(StatTbl[[#This Row],[Join]],TargetSlots[Join],TargetSlots[Join],"Не найдено")&lt;&gt;"Не найдено","Ищем","Не ищем")</f>
        <v>Не ищем</v>
      </c>
      <c r="T16" s="4" t="str">
        <f ca="1">IF(COUNTIFS(OFFSET(D16:$Q16,0,SearchDay-1,,15-SearchDay),"&lt;="&amp; ValidC,OFFSET(D16:$Q16,0,SearchDay-1,,15-SearchDay),"&gt;-1")&gt;0,"Есть слот!","Ничего")</f>
        <v>Ничего</v>
      </c>
      <c r="U16">
        <f ca="1">IF(S16="Ищем",IF(StatTbl[[#This Row],[Доступность]]="Есть слот!",COUNTIFS(OFFSET(D16:$Q16,0,SearchDay-1),"&lt;="&amp; ValidC,OFFSET(D16:$Q16,0,SearchDay-1),"&gt;-1"),0),0)</f>
        <v>0</v>
      </c>
      <c r="V16" t="str" cm="1">
        <f t="array" aca="1" ref="V16" ca="1">IF(StatTbl[[#This Row],[Кол-во слотов]]&gt;0, B16&amp;" "&amp;C16&amp;" "&amp;_xlfn.TEXTJOIN(", ",FALSE,TEXT(_xlfn._xlws.FILTER(OFFSET($D$8:$Q$8,0,SearchDay-1,,15-SearchDay),(OFFSET(D16:Q16,0,SearchDay-1,,15-SearchDay)&gt;-1)*(OFFSET(D16:Q16,0,SearchDay-1,,15-SearchDay)&lt;=ValidC)),"ДД/ММ")),"")</f>
        <v/>
      </c>
      <c r="W16" t="str">
        <f t="shared" si="0"/>
        <v>АстанаQR-поставка</v>
      </c>
    </row>
    <row r="17" spans="2:23" x14ac:dyDescent="0.45">
      <c r="B17" s="12" t="s">
        <v>10</v>
      </c>
      <c r="C17" s="12" t="s">
        <v>109</v>
      </c>
      <c r="D17" s="35">
        <v>0</v>
      </c>
      <c r="E17" s="35">
        <v>0</v>
      </c>
      <c r="F17" s="35">
        <v>0</v>
      </c>
      <c r="G17" s="35">
        <v>0</v>
      </c>
      <c r="H17" s="35">
        <v>0</v>
      </c>
      <c r="I17" s="35">
        <v>0</v>
      </c>
      <c r="J17" s="35">
        <v>0</v>
      </c>
      <c r="K17" s="35">
        <v>0</v>
      </c>
      <c r="L17" s="35">
        <v>0</v>
      </c>
      <c r="M17" s="35">
        <v>0</v>
      </c>
      <c r="N17" s="35">
        <v>0</v>
      </c>
      <c r="O17" s="35">
        <v>0</v>
      </c>
      <c r="P17" s="35">
        <v>0</v>
      </c>
      <c r="Q17" s="35">
        <v>-1</v>
      </c>
      <c r="S17" s="5" t="str">
        <f>IF(_xlfn.XLOOKUP(StatTbl[[#This Row],[Join]],TargetSlots[Join],TargetSlots[Join],"Не найдено")&lt;&gt;"Не найдено","Ищем","Не ищем")</f>
        <v>Не ищем</v>
      </c>
      <c r="T17" s="4" t="str">
        <f ca="1">IF(COUNTIFS(OFFSET(D17:$Q17,0,SearchDay-1,,15-SearchDay),"&lt;="&amp; ValidC,OFFSET(D17:$Q17,0,SearchDay-1,,15-SearchDay),"&gt;-1")&gt;0,"Есть слот!","Ничего")</f>
        <v>Есть слот!</v>
      </c>
      <c r="U17">
        <f ca="1">IF(S17="Ищем",IF(StatTbl[[#This Row],[Доступность]]="Есть слот!",COUNTIFS(OFFSET(D17:$Q17,0,SearchDay-1),"&lt;="&amp; ValidC,OFFSET(D17:$Q17,0,SearchDay-1),"&gt;-1"),0),0)</f>
        <v>0</v>
      </c>
      <c r="V17" t="str" cm="1">
        <f t="array" aca="1" ref="V17" ca="1">IF(StatTbl[[#This Row],[Кол-во слотов]]&gt;0, B17&amp;" "&amp;C17&amp;" "&amp;_xlfn.TEXTJOIN(", ",FALSE,TEXT(_xlfn._xlws.FILTER(OFFSET($D$8:$Q$8,0,SearchDay-1,,15-SearchDay),(OFFSET(D17:Q17,0,SearchDay-1,,15-SearchDay)&gt;-1)*(OFFSET(D17:Q17,0,SearchDay-1,,15-SearchDay)&lt;=ValidC)),"ДД/ММ")),"")</f>
        <v/>
      </c>
      <c r="W17" t="str">
        <f t="shared" si="0"/>
        <v>Астана 2Короба</v>
      </c>
    </row>
    <row r="18" spans="2:23" x14ac:dyDescent="0.45">
      <c r="B18" s="12" t="s">
        <v>10</v>
      </c>
      <c r="C18" s="12" t="s">
        <v>110</v>
      </c>
      <c r="D18" s="35">
        <v>0</v>
      </c>
      <c r="E18" s="35">
        <v>0</v>
      </c>
      <c r="F18" s="35">
        <v>0</v>
      </c>
      <c r="G18" s="35">
        <v>0</v>
      </c>
      <c r="H18" s="35">
        <v>0</v>
      </c>
      <c r="I18" s="35">
        <v>0</v>
      </c>
      <c r="J18" s="35">
        <v>20</v>
      </c>
      <c r="K18" s="35">
        <v>0</v>
      </c>
      <c r="L18" s="35">
        <v>20</v>
      </c>
      <c r="M18" s="35">
        <v>0</v>
      </c>
      <c r="N18" s="35">
        <v>0</v>
      </c>
      <c r="O18" s="35">
        <v>0</v>
      </c>
      <c r="P18" s="35">
        <v>0</v>
      </c>
      <c r="Q18" s="35">
        <v>-1</v>
      </c>
      <c r="S18" s="5" t="str">
        <f>IF(_xlfn.XLOOKUP(StatTbl[[#This Row],[Join]],TargetSlots[Join],TargetSlots[Join],"Не найдено")&lt;&gt;"Не найдено","Ищем","Не ищем")</f>
        <v>Не ищем</v>
      </c>
      <c r="T18" s="4" t="str">
        <f ca="1">IF(COUNTIFS(OFFSET(D18:$Q18,0,SearchDay-1,,15-SearchDay),"&lt;="&amp; ValidC,OFFSET(D18:$Q18,0,SearchDay-1,,15-SearchDay),"&gt;-1")&gt;0,"Есть слот!","Ничего")</f>
        <v>Есть слот!</v>
      </c>
      <c r="U18">
        <f ca="1">IF(S18="Ищем",IF(StatTbl[[#This Row],[Доступность]]="Есть слот!",COUNTIFS(OFFSET(D18:$Q18,0,SearchDay-1),"&lt;="&amp; ValidC,OFFSET(D18:$Q18,0,SearchDay-1),"&gt;-1"),0),0)</f>
        <v>0</v>
      </c>
      <c r="V18" t="str" cm="1">
        <f t="array" aca="1" ref="V18" ca="1">IF(StatTbl[[#This Row],[Кол-во слотов]]&gt;0, B18&amp;" "&amp;C18&amp;" "&amp;_xlfn.TEXTJOIN(", ",FALSE,TEXT(_xlfn._xlws.FILTER(OFFSET($D$8:$Q$8,0,SearchDay-1,,15-SearchDay),(OFFSET(D18:Q18,0,SearchDay-1,,15-SearchDay)&gt;-1)*(OFFSET(D18:Q18,0,SearchDay-1,,15-SearchDay)&lt;=ValidC)),"ДД/ММ")),"")</f>
        <v/>
      </c>
      <c r="W18" t="str">
        <f t="shared" si="0"/>
        <v>Астана 2Монопаллеты</v>
      </c>
    </row>
    <row r="19" spans="2:23" x14ac:dyDescent="0.45">
      <c r="B19" s="12" t="s">
        <v>10</v>
      </c>
      <c r="C19" s="12" t="s">
        <v>6</v>
      </c>
      <c r="D19" s="35">
        <v>0</v>
      </c>
      <c r="E19" s="35">
        <v>0</v>
      </c>
      <c r="F19" s="35">
        <v>0</v>
      </c>
      <c r="G19" s="35">
        <v>0</v>
      </c>
      <c r="H19" s="35">
        <v>0</v>
      </c>
      <c r="I19" s="35">
        <v>0</v>
      </c>
      <c r="J19" s="35">
        <v>0</v>
      </c>
      <c r="K19" s="35">
        <v>0</v>
      </c>
      <c r="L19" s="35">
        <v>0</v>
      </c>
      <c r="M19" s="35">
        <v>0</v>
      </c>
      <c r="N19" s="35">
        <v>0</v>
      </c>
      <c r="O19" s="35">
        <v>0</v>
      </c>
      <c r="P19" s="35">
        <v>0</v>
      </c>
      <c r="Q19" s="35">
        <v>-1</v>
      </c>
      <c r="S19" s="5" t="str">
        <f>IF(_xlfn.XLOOKUP(StatTbl[[#This Row],[Join]],TargetSlots[Join],TargetSlots[Join],"Не найдено")&lt;&gt;"Не найдено","Ищем","Не ищем")</f>
        <v>Не ищем</v>
      </c>
      <c r="T19" s="4" t="str">
        <f ca="1">IF(COUNTIFS(OFFSET(D19:$Q19,0,SearchDay-1,,15-SearchDay),"&lt;="&amp; ValidC,OFFSET(D19:$Q19,0,SearchDay-1,,15-SearchDay),"&gt;-1")&gt;0,"Есть слот!","Ничего")</f>
        <v>Есть слот!</v>
      </c>
      <c r="U19">
        <f ca="1">IF(S19="Ищем",IF(StatTbl[[#This Row],[Доступность]]="Есть слот!",COUNTIFS(OFFSET(D19:$Q19,0,SearchDay-1),"&lt;="&amp; ValidC,OFFSET(D19:$Q19,0,SearchDay-1),"&gt;-1"),0),0)</f>
        <v>0</v>
      </c>
      <c r="V19" t="str" cm="1">
        <f t="array" aca="1" ref="V19" ca="1">IF(StatTbl[[#This Row],[Кол-во слотов]]&gt;0, B19&amp;" "&amp;C19&amp;" "&amp;_xlfn.TEXTJOIN(", ",FALSE,TEXT(_xlfn._xlws.FILTER(OFFSET($D$8:$Q$8,0,SearchDay-1,,15-SearchDay),(OFFSET(D19:Q19,0,SearchDay-1,,15-SearchDay)&gt;-1)*(OFFSET(D19:Q19,0,SearchDay-1,,15-SearchDay)&lt;=ValidC)),"ДД/ММ")),"")</f>
        <v/>
      </c>
      <c r="W19" t="str">
        <f t="shared" si="0"/>
        <v>Астана 2Суперсейф</v>
      </c>
    </row>
    <row r="20" spans="2:23" x14ac:dyDescent="0.45">
      <c r="B20" s="12" t="s">
        <v>10</v>
      </c>
      <c r="C20" s="12" t="s">
        <v>111</v>
      </c>
      <c r="D20" s="35">
        <v>-1</v>
      </c>
      <c r="E20" s="35">
        <v>-1</v>
      </c>
      <c r="F20" s="35">
        <v>-1</v>
      </c>
      <c r="G20" s="35">
        <v>-1</v>
      </c>
      <c r="H20" s="35">
        <v>-1</v>
      </c>
      <c r="I20" s="35">
        <v>-1</v>
      </c>
      <c r="J20" s="35">
        <v>-1</v>
      </c>
      <c r="K20" s="35">
        <v>-1</v>
      </c>
      <c r="L20" s="35">
        <v>-1</v>
      </c>
      <c r="M20" s="35">
        <v>-1</v>
      </c>
      <c r="N20" s="35">
        <v>-1</v>
      </c>
      <c r="O20" s="35">
        <v>-1</v>
      </c>
      <c r="P20" s="35">
        <v>-1</v>
      </c>
      <c r="Q20" s="35">
        <v>-1</v>
      </c>
      <c r="S20" s="5" t="str">
        <f>IF(_xlfn.XLOOKUP(StatTbl[[#This Row],[Join]],TargetSlots[Join],TargetSlots[Join],"Не найдено")&lt;&gt;"Не найдено","Ищем","Не ищем")</f>
        <v>Не ищем</v>
      </c>
      <c r="T20" s="4" t="str">
        <f ca="1">IF(COUNTIFS(OFFSET(D20:$Q20,0,SearchDay-1,,15-SearchDay),"&lt;="&amp; ValidC,OFFSET(D20:$Q20,0,SearchDay-1,,15-SearchDay),"&gt;-1")&gt;0,"Есть слот!","Ничего")</f>
        <v>Ничего</v>
      </c>
      <c r="U20">
        <f ca="1">IF(S20="Ищем",IF(StatTbl[[#This Row],[Доступность]]="Есть слот!",COUNTIFS(OFFSET(D20:$Q20,0,SearchDay-1),"&lt;="&amp; ValidC,OFFSET(D20:$Q20,0,SearchDay-1),"&gt;-1"),0),0)</f>
        <v>0</v>
      </c>
      <c r="V20" t="str" cm="1">
        <f t="array" aca="1" ref="V20" ca="1">IF(StatTbl[[#This Row],[Кол-во слотов]]&gt;0, B20&amp;" "&amp;C20&amp;" "&amp;_xlfn.TEXTJOIN(", ",FALSE,TEXT(_xlfn._xlws.FILTER(OFFSET($D$8:$Q$8,0,SearchDay-1,,15-SearchDay),(OFFSET(D20:Q20,0,SearchDay-1,,15-SearchDay)&gt;-1)*(OFFSET(D20:Q20,0,SearchDay-1,,15-SearchDay)&lt;=ValidC)),"ДД/ММ")),"")</f>
        <v/>
      </c>
      <c r="W20" t="str">
        <f t="shared" si="0"/>
        <v>Астана 2QR-поставка</v>
      </c>
    </row>
    <row r="21" spans="2:23" x14ac:dyDescent="0.45">
      <c r="B21" s="12" t="s">
        <v>11</v>
      </c>
      <c r="C21" s="12" t="s">
        <v>109</v>
      </c>
      <c r="D21" s="35">
        <v>20</v>
      </c>
      <c r="E21" s="35">
        <v>20</v>
      </c>
      <c r="F21" s="35">
        <v>20</v>
      </c>
      <c r="G21" s="35">
        <v>20</v>
      </c>
      <c r="H21" s="35">
        <v>20</v>
      </c>
      <c r="I21" s="35">
        <v>20</v>
      </c>
      <c r="J21" s="35">
        <v>20</v>
      </c>
      <c r="K21" s="35">
        <v>20</v>
      </c>
      <c r="L21" s="35">
        <v>20</v>
      </c>
      <c r="M21" s="35">
        <v>20</v>
      </c>
      <c r="N21" s="35">
        <v>20</v>
      </c>
      <c r="O21" s="35">
        <v>20</v>
      </c>
      <c r="P21" s="35">
        <v>20</v>
      </c>
      <c r="Q21" s="35">
        <v>-1</v>
      </c>
      <c r="S21" s="5" t="str">
        <f>IF(_xlfn.XLOOKUP(StatTbl[[#This Row],[Join]],TargetSlots[Join],TargetSlots[Join],"Не найдено")&lt;&gt;"Не найдено","Ищем","Не ищем")</f>
        <v>Не ищем</v>
      </c>
      <c r="T21" s="4" t="str">
        <f ca="1">IF(COUNTIFS(OFFSET(D21:$Q21,0,SearchDay-1,,15-SearchDay),"&lt;="&amp; ValidC,OFFSET(D21:$Q21,0,SearchDay-1,,15-SearchDay),"&gt;-1")&gt;0,"Есть слот!","Ничего")</f>
        <v>Ничего</v>
      </c>
      <c r="U21">
        <f ca="1">IF(S21="Ищем",IF(StatTbl[[#This Row],[Доступность]]="Есть слот!",COUNTIFS(OFFSET(D21:$Q21,0,SearchDay-1),"&lt;="&amp; ValidC,OFFSET(D21:$Q21,0,SearchDay-1),"&gt;-1"),0),0)</f>
        <v>0</v>
      </c>
      <c r="V21" t="str" cm="1">
        <f t="array" aca="1" ref="V21" ca="1">IF(StatTbl[[#This Row],[Кол-во слотов]]&gt;0, B21&amp;" "&amp;C21&amp;" "&amp;_xlfn.TEXTJOIN(", ",FALSE,TEXT(_xlfn._xlws.FILTER(OFFSET($D$8:$Q$8,0,SearchDay-1,,15-SearchDay),(OFFSET(D21:Q21,0,SearchDay-1,,15-SearchDay)&gt;-1)*(OFFSET(D21:Q21,0,SearchDay-1,,15-SearchDay)&lt;=ValidC)),"ДД/ММ")),"")</f>
        <v/>
      </c>
      <c r="W21" t="str">
        <f t="shared" si="0"/>
        <v>Белые СтолбыКороба</v>
      </c>
    </row>
    <row r="22" spans="2:23" x14ac:dyDescent="0.45">
      <c r="B22" s="12" t="s">
        <v>11</v>
      </c>
      <c r="C22" s="12" t="s">
        <v>110</v>
      </c>
      <c r="D22" s="35">
        <v>-1</v>
      </c>
      <c r="E22" s="35">
        <v>-1</v>
      </c>
      <c r="F22" s="35">
        <v>-1</v>
      </c>
      <c r="G22" s="35">
        <v>-1</v>
      </c>
      <c r="H22" s="35">
        <v>-1</v>
      </c>
      <c r="I22" s="35">
        <v>-1</v>
      </c>
      <c r="J22" s="35">
        <v>-1</v>
      </c>
      <c r="K22" s="35">
        <v>-1</v>
      </c>
      <c r="L22" s="35">
        <v>-1</v>
      </c>
      <c r="M22" s="35">
        <v>-1</v>
      </c>
      <c r="N22" s="35">
        <v>-1</v>
      </c>
      <c r="O22" s="35">
        <v>-1</v>
      </c>
      <c r="P22" s="35">
        <v>-1</v>
      </c>
      <c r="Q22" s="35">
        <v>-1</v>
      </c>
      <c r="S22" s="5" t="str">
        <f>IF(_xlfn.XLOOKUP(StatTbl[[#This Row],[Join]],TargetSlots[Join],TargetSlots[Join],"Не найдено")&lt;&gt;"Не найдено","Ищем","Не ищем")</f>
        <v>Не ищем</v>
      </c>
      <c r="T22" s="4" t="str">
        <f ca="1">IF(COUNTIFS(OFFSET(D22:$Q22,0,SearchDay-1,,15-SearchDay),"&lt;="&amp; ValidC,OFFSET(D22:$Q22,0,SearchDay-1,,15-SearchDay),"&gt;-1")&gt;0,"Есть слот!","Ничего")</f>
        <v>Ничего</v>
      </c>
      <c r="U22">
        <f ca="1">IF(S22="Ищем",IF(StatTbl[[#This Row],[Доступность]]="Есть слот!",COUNTIFS(OFFSET(D22:$Q22,0,SearchDay-1),"&lt;="&amp; ValidC,OFFSET(D22:$Q22,0,SearchDay-1),"&gt;-1"),0),0)</f>
        <v>0</v>
      </c>
      <c r="V22" t="str" cm="1">
        <f t="array" aca="1" ref="V22" ca="1">IF(StatTbl[[#This Row],[Кол-во слотов]]&gt;0, B22&amp;" "&amp;C22&amp;" "&amp;_xlfn.TEXTJOIN(", ",FALSE,TEXT(_xlfn._xlws.FILTER(OFFSET($D$8:$Q$8,0,SearchDay-1,,15-SearchDay),(OFFSET(D22:Q22,0,SearchDay-1,,15-SearchDay)&gt;-1)*(OFFSET(D22:Q22,0,SearchDay-1,,15-SearchDay)&lt;=ValidC)),"ДД/ММ")),"")</f>
        <v/>
      </c>
      <c r="W22" t="str">
        <f t="shared" si="0"/>
        <v>Белые СтолбыМонопаллеты</v>
      </c>
    </row>
    <row r="23" spans="2:23" x14ac:dyDescent="0.45">
      <c r="B23" s="12" t="s">
        <v>11</v>
      </c>
      <c r="C23" s="12" t="s">
        <v>6</v>
      </c>
      <c r="D23" s="35">
        <v>-1</v>
      </c>
      <c r="E23" s="35">
        <v>-1</v>
      </c>
      <c r="F23" s="35">
        <v>-1</v>
      </c>
      <c r="G23" s="35">
        <v>-1</v>
      </c>
      <c r="H23" s="35">
        <v>-1</v>
      </c>
      <c r="I23" s="35">
        <v>-1</v>
      </c>
      <c r="J23" s="35">
        <v>-1</v>
      </c>
      <c r="K23" s="35">
        <v>-1</v>
      </c>
      <c r="L23" s="35">
        <v>-1</v>
      </c>
      <c r="M23" s="35">
        <v>-1</v>
      </c>
      <c r="N23" s="35">
        <v>-1</v>
      </c>
      <c r="O23" s="35">
        <v>-1</v>
      </c>
      <c r="P23" s="35">
        <v>-1</v>
      </c>
      <c r="Q23" s="35">
        <v>-1</v>
      </c>
      <c r="S23" s="5" t="str">
        <f>IF(_xlfn.XLOOKUP(StatTbl[[#This Row],[Join]],TargetSlots[Join],TargetSlots[Join],"Не найдено")&lt;&gt;"Не найдено","Ищем","Не ищем")</f>
        <v>Не ищем</v>
      </c>
      <c r="T23" s="4" t="str">
        <f ca="1">IF(COUNTIFS(OFFSET(D23:$Q23,0,SearchDay-1,,15-SearchDay),"&lt;="&amp; ValidC,OFFSET(D23:$Q23,0,SearchDay-1,,15-SearchDay),"&gt;-1")&gt;0,"Есть слот!","Ничего")</f>
        <v>Ничего</v>
      </c>
      <c r="U23">
        <f ca="1">IF(S23="Ищем",IF(StatTbl[[#This Row],[Доступность]]="Есть слот!",COUNTIFS(OFFSET(D23:$Q23,0,SearchDay-1),"&lt;="&amp; ValidC,OFFSET(D23:$Q23,0,SearchDay-1),"&gt;-1"),0),0)</f>
        <v>0</v>
      </c>
      <c r="V23" t="str" cm="1">
        <f t="array" aca="1" ref="V23" ca="1">IF(StatTbl[[#This Row],[Кол-во слотов]]&gt;0, B23&amp;" "&amp;C23&amp;" "&amp;_xlfn.TEXTJOIN(", ",FALSE,TEXT(_xlfn._xlws.FILTER(OFFSET($D$8:$Q$8,0,SearchDay-1,,15-SearchDay),(OFFSET(D23:Q23,0,SearchDay-1,,15-SearchDay)&gt;-1)*(OFFSET(D23:Q23,0,SearchDay-1,,15-SearchDay)&lt;=ValidC)),"ДД/ММ")),"")</f>
        <v/>
      </c>
      <c r="W23" t="str">
        <f t="shared" si="0"/>
        <v>Белые СтолбыСуперсейф</v>
      </c>
    </row>
    <row r="24" spans="2:23" x14ac:dyDescent="0.45">
      <c r="B24" s="12" t="s">
        <v>11</v>
      </c>
      <c r="C24" s="12" t="s">
        <v>111</v>
      </c>
      <c r="D24" s="35">
        <v>20</v>
      </c>
      <c r="E24" s="35">
        <v>20</v>
      </c>
      <c r="F24" s="35">
        <v>20</v>
      </c>
      <c r="G24" s="35">
        <v>20</v>
      </c>
      <c r="H24" s="35">
        <v>20</v>
      </c>
      <c r="I24" s="35">
        <v>20</v>
      </c>
      <c r="J24" s="35">
        <v>20</v>
      </c>
      <c r="K24" s="35">
        <v>20</v>
      </c>
      <c r="L24" s="35">
        <v>20</v>
      </c>
      <c r="M24" s="35">
        <v>20</v>
      </c>
      <c r="N24" s="35">
        <v>20</v>
      </c>
      <c r="O24" s="35">
        <v>-1</v>
      </c>
      <c r="P24" s="35">
        <v>-1</v>
      </c>
      <c r="Q24" s="35">
        <v>-1</v>
      </c>
      <c r="S24" s="5" t="str">
        <f>IF(_xlfn.XLOOKUP(StatTbl[[#This Row],[Join]],TargetSlots[Join],TargetSlots[Join],"Не найдено")&lt;&gt;"Не найдено","Ищем","Не ищем")</f>
        <v>Не ищем</v>
      </c>
      <c r="T24" s="4" t="str">
        <f ca="1">IF(COUNTIFS(OFFSET(D24:$Q24,0,SearchDay-1,,15-SearchDay),"&lt;="&amp; ValidC,OFFSET(D24:$Q24,0,SearchDay-1,,15-SearchDay),"&gt;-1")&gt;0,"Есть слот!","Ничего")</f>
        <v>Ничего</v>
      </c>
      <c r="U24">
        <f ca="1">IF(S24="Ищем",IF(StatTbl[[#This Row],[Доступность]]="Есть слот!",COUNTIFS(OFFSET(D24:$Q24,0,SearchDay-1),"&lt;="&amp; ValidC,OFFSET(D24:$Q24,0,SearchDay-1),"&gt;-1"),0),0)</f>
        <v>0</v>
      </c>
      <c r="V24" t="str" cm="1">
        <f t="array" aca="1" ref="V24" ca="1">IF(StatTbl[[#This Row],[Кол-во слотов]]&gt;0, B24&amp;" "&amp;C24&amp;" "&amp;_xlfn.TEXTJOIN(", ",FALSE,TEXT(_xlfn._xlws.FILTER(OFFSET($D$8:$Q$8,0,SearchDay-1,,15-SearchDay),(OFFSET(D24:Q24,0,SearchDay-1,,15-SearchDay)&gt;-1)*(OFFSET(D24:Q24,0,SearchDay-1,,15-SearchDay)&lt;=ValidC)),"ДД/ММ")),"")</f>
        <v/>
      </c>
      <c r="W24" t="str">
        <f t="shared" si="0"/>
        <v>Белые СтолбыQR-поставка</v>
      </c>
    </row>
    <row r="25" spans="2:23" x14ac:dyDescent="0.45">
      <c r="B25" s="12" t="s">
        <v>12</v>
      </c>
      <c r="C25" s="12" t="s">
        <v>109</v>
      </c>
      <c r="D25" s="35">
        <v>-1</v>
      </c>
      <c r="E25" s="35">
        <v>-1</v>
      </c>
      <c r="F25" s="35">
        <v>-1</v>
      </c>
      <c r="G25" s="35">
        <v>-1</v>
      </c>
      <c r="H25" s="35">
        <v>-1</v>
      </c>
      <c r="I25" s="35">
        <v>-1</v>
      </c>
      <c r="J25" s="35">
        <v>-1</v>
      </c>
      <c r="K25" s="35">
        <v>-1</v>
      </c>
      <c r="L25" s="35">
        <v>-1</v>
      </c>
      <c r="M25" s="35">
        <v>-1</v>
      </c>
      <c r="N25" s="35">
        <v>-1</v>
      </c>
      <c r="O25" s="35">
        <v>-1</v>
      </c>
      <c r="P25" s="35">
        <v>-1</v>
      </c>
      <c r="Q25" s="35">
        <v>-1</v>
      </c>
      <c r="S25" s="5" t="str">
        <f>IF(_xlfn.XLOOKUP(StatTbl[[#This Row],[Join]],TargetSlots[Join],TargetSlots[Join],"Не найдено")&lt;&gt;"Не найдено","Ищем","Не ищем")</f>
        <v>Не ищем</v>
      </c>
      <c r="T25" s="4" t="str">
        <f ca="1">IF(COUNTIFS(OFFSET(D25:$Q25,0,SearchDay-1,,15-SearchDay),"&lt;="&amp; ValidC,OFFSET(D25:$Q25,0,SearchDay-1,,15-SearchDay),"&gt;-1")&gt;0,"Есть слот!","Ничего")</f>
        <v>Ничего</v>
      </c>
      <c r="U25">
        <f ca="1">IF(S25="Ищем",IF(StatTbl[[#This Row],[Доступность]]="Есть слот!",COUNTIFS(OFFSET(D25:$Q25,0,SearchDay-1),"&lt;="&amp; ValidC,OFFSET(D25:$Q25,0,SearchDay-1),"&gt;-1"),0),0)</f>
        <v>0</v>
      </c>
      <c r="V25" t="str" cm="1">
        <f t="array" aca="1" ref="V25" ca="1">IF(StatTbl[[#This Row],[Кол-во слотов]]&gt;0, B25&amp;" "&amp;C25&amp;" "&amp;_xlfn.TEXTJOIN(", ",FALSE,TEXT(_xlfn._xlws.FILTER(OFFSET($D$8:$Q$8,0,SearchDay-1,,15-SearchDay),(OFFSET(D25:Q25,0,SearchDay-1,,15-SearchDay)&gt;-1)*(OFFSET(D25:Q25,0,SearchDay-1,,15-SearchDay)&lt;=ValidC)),"ДД/ММ")),"")</f>
        <v/>
      </c>
      <c r="W25" t="str">
        <f t="shared" si="0"/>
        <v>Внуково СГТКороба</v>
      </c>
    </row>
    <row r="26" spans="2:23" x14ac:dyDescent="0.45">
      <c r="B26" s="12" t="s">
        <v>12</v>
      </c>
      <c r="C26" s="12" t="s">
        <v>110</v>
      </c>
      <c r="D26" s="35">
        <v>-1</v>
      </c>
      <c r="E26" s="35">
        <v>-1</v>
      </c>
      <c r="F26" s="35">
        <v>-1</v>
      </c>
      <c r="G26" s="35">
        <v>-1</v>
      </c>
      <c r="H26" s="35">
        <v>-1</v>
      </c>
      <c r="I26" s="35">
        <v>-1</v>
      </c>
      <c r="J26" s="35">
        <v>-1</v>
      </c>
      <c r="K26" s="35">
        <v>-1</v>
      </c>
      <c r="L26" s="35">
        <v>-1</v>
      </c>
      <c r="M26" s="35">
        <v>-1</v>
      </c>
      <c r="N26" s="35">
        <v>-1</v>
      </c>
      <c r="O26" s="35">
        <v>-1</v>
      </c>
      <c r="P26" s="35">
        <v>-1</v>
      </c>
      <c r="Q26" s="35">
        <v>-1</v>
      </c>
      <c r="S26" s="5" t="str">
        <f>IF(_xlfn.XLOOKUP(StatTbl[[#This Row],[Join]],TargetSlots[Join],TargetSlots[Join],"Не найдено")&lt;&gt;"Не найдено","Ищем","Не ищем")</f>
        <v>Не ищем</v>
      </c>
      <c r="T26" s="4" t="str">
        <f ca="1">IF(COUNTIFS(OFFSET(D26:$Q26,0,SearchDay-1,,15-SearchDay),"&lt;="&amp; ValidC,OFFSET(D26:$Q26,0,SearchDay-1,,15-SearchDay),"&gt;-1")&gt;0,"Есть слот!","Ничего")</f>
        <v>Ничего</v>
      </c>
      <c r="U26">
        <f ca="1">IF(S26="Ищем",IF(StatTbl[[#This Row],[Доступность]]="Есть слот!",COUNTIFS(OFFSET(D26:$Q26,0,SearchDay-1),"&lt;="&amp; ValidC,OFFSET(D26:$Q26,0,SearchDay-1),"&gt;-1"),0),0)</f>
        <v>0</v>
      </c>
      <c r="V26" t="str" cm="1">
        <f t="array" aca="1" ref="V26" ca="1">IF(StatTbl[[#This Row],[Кол-во слотов]]&gt;0, B26&amp;" "&amp;C26&amp;" "&amp;_xlfn.TEXTJOIN(", ",FALSE,TEXT(_xlfn._xlws.FILTER(OFFSET($D$8:$Q$8,0,SearchDay-1,,15-SearchDay),(OFFSET(D26:Q26,0,SearchDay-1,,15-SearchDay)&gt;-1)*(OFFSET(D26:Q26,0,SearchDay-1,,15-SearchDay)&lt;=ValidC)),"ДД/ММ")),"")</f>
        <v/>
      </c>
      <c r="W26" t="str">
        <f t="shared" si="0"/>
        <v>Внуково СГТМонопаллеты</v>
      </c>
    </row>
    <row r="27" spans="2:23" x14ac:dyDescent="0.45">
      <c r="B27" s="12" t="s">
        <v>12</v>
      </c>
      <c r="C27" s="12" t="s">
        <v>6</v>
      </c>
      <c r="D27" s="35">
        <v>-1</v>
      </c>
      <c r="E27" s="35">
        <v>-1</v>
      </c>
      <c r="F27" s="35">
        <v>-1</v>
      </c>
      <c r="G27" s="35">
        <v>-1</v>
      </c>
      <c r="H27" s="35">
        <v>-1</v>
      </c>
      <c r="I27" s="35">
        <v>-1</v>
      </c>
      <c r="J27" s="35">
        <v>-1</v>
      </c>
      <c r="K27" s="35">
        <v>-1</v>
      </c>
      <c r="L27" s="35">
        <v>-1</v>
      </c>
      <c r="M27" s="35">
        <v>-1</v>
      </c>
      <c r="N27" s="35">
        <v>-1</v>
      </c>
      <c r="O27" s="35">
        <v>-1</v>
      </c>
      <c r="P27" s="35">
        <v>-1</v>
      </c>
      <c r="Q27" s="35">
        <v>-1</v>
      </c>
      <c r="S27" s="5" t="str">
        <f>IF(_xlfn.XLOOKUP(StatTbl[[#This Row],[Join]],TargetSlots[Join],TargetSlots[Join],"Не найдено")&lt;&gt;"Не найдено","Ищем","Не ищем")</f>
        <v>Не ищем</v>
      </c>
      <c r="T27" s="4" t="str">
        <f ca="1">IF(COUNTIFS(OFFSET(D27:$Q27,0,SearchDay-1,,15-SearchDay),"&lt;="&amp; ValidC,OFFSET(D27:$Q27,0,SearchDay-1,,15-SearchDay),"&gt;-1")&gt;0,"Есть слот!","Ничего")</f>
        <v>Ничего</v>
      </c>
      <c r="U27">
        <f ca="1">IF(S27="Ищем",IF(StatTbl[[#This Row],[Доступность]]="Есть слот!",COUNTIFS(OFFSET(D27:$Q27,0,SearchDay-1),"&lt;="&amp; ValidC,OFFSET(D27:$Q27,0,SearchDay-1),"&gt;-1"),0),0)</f>
        <v>0</v>
      </c>
      <c r="V27" t="str" cm="1">
        <f t="array" aca="1" ref="V27" ca="1">IF(StatTbl[[#This Row],[Кол-во слотов]]&gt;0, B27&amp;" "&amp;C27&amp;" "&amp;_xlfn.TEXTJOIN(", ",FALSE,TEXT(_xlfn._xlws.FILTER(OFFSET($D$8:$Q$8,0,SearchDay-1,,15-SearchDay),(OFFSET(D27:Q27,0,SearchDay-1,,15-SearchDay)&gt;-1)*(OFFSET(D27:Q27,0,SearchDay-1,,15-SearchDay)&lt;=ValidC)),"ДД/ММ")),"")</f>
        <v/>
      </c>
      <c r="W27" t="str">
        <f t="shared" si="0"/>
        <v>Внуково СГТСуперсейф</v>
      </c>
    </row>
    <row r="28" spans="2:23" x14ac:dyDescent="0.45">
      <c r="B28" s="12" t="s">
        <v>12</v>
      </c>
      <c r="C28" s="12" t="s">
        <v>111</v>
      </c>
      <c r="D28" s="35">
        <v>-1</v>
      </c>
      <c r="E28" s="35">
        <v>-1</v>
      </c>
      <c r="F28" s="35">
        <v>-1</v>
      </c>
      <c r="G28" s="35">
        <v>-1</v>
      </c>
      <c r="H28" s="35">
        <v>-1</v>
      </c>
      <c r="I28" s="35">
        <v>-1</v>
      </c>
      <c r="J28" s="35">
        <v>-1</v>
      </c>
      <c r="K28" s="35">
        <v>-1</v>
      </c>
      <c r="L28" s="35">
        <v>-1</v>
      </c>
      <c r="M28" s="35">
        <v>-1</v>
      </c>
      <c r="N28" s="35">
        <v>-1</v>
      </c>
      <c r="O28" s="35">
        <v>-1</v>
      </c>
      <c r="P28" s="35">
        <v>-1</v>
      </c>
      <c r="Q28" s="35">
        <v>-1</v>
      </c>
      <c r="S28" s="5" t="str">
        <f>IF(_xlfn.XLOOKUP(StatTbl[[#This Row],[Join]],TargetSlots[Join],TargetSlots[Join],"Не найдено")&lt;&gt;"Не найдено","Ищем","Не ищем")</f>
        <v>Не ищем</v>
      </c>
      <c r="T28" s="4" t="str">
        <f ca="1">IF(COUNTIFS(OFFSET(D28:$Q28,0,SearchDay-1,,15-SearchDay),"&lt;="&amp; ValidC,OFFSET(D28:$Q28,0,SearchDay-1,,15-SearchDay),"&gt;-1")&gt;0,"Есть слот!","Ничего")</f>
        <v>Ничего</v>
      </c>
      <c r="U28">
        <f ca="1">IF(S28="Ищем",IF(StatTbl[[#This Row],[Доступность]]="Есть слот!",COUNTIFS(OFFSET(D28:$Q28,0,SearchDay-1),"&lt;="&amp; ValidC,OFFSET(D28:$Q28,0,SearchDay-1),"&gt;-1"),0),0)</f>
        <v>0</v>
      </c>
      <c r="V28" t="str" cm="1">
        <f t="array" aca="1" ref="V28" ca="1">IF(StatTbl[[#This Row],[Кол-во слотов]]&gt;0, B28&amp;" "&amp;C28&amp;" "&amp;_xlfn.TEXTJOIN(", ",FALSE,TEXT(_xlfn._xlws.FILTER(OFFSET($D$8:$Q$8,0,SearchDay-1,,15-SearchDay),(OFFSET(D28:Q28,0,SearchDay-1,,15-SearchDay)&gt;-1)*(OFFSET(D28:Q28,0,SearchDay-1,,15-SearchDay)&lt;=ValidC)),"ДД/ММ")),"")</f>
        <v/>
      </c>
      <c r="W28" t="str">
        <f t="shared" si="0"/>
        <v>Внуково СГТQR-поставка</v>
      </c>
    </row>
    <row r="29" spans="2:23" x14ac:dyDescent="0.45">
      <c r="B29" s="12" t="s">
        <v>13</v>
      </c>
      <c r="C29" s="12" t="s">
        <v>109</v>
      </c>
      <c r="D29" s="35">
        <v>-1</v>
      </c>
      <c r="E29" s="35">
        <v>-1</v>
      </c>
      <c r="F29" s="35">
        <v>-1</v>
      </c>
      <c r="G29" s="35">
        <v>-1</v>
      </c>
      <c r="H29" s="35">
        <v>-1</v>
      </c>
      <c r="I29" s="35">
        <v>-1</v>
      </c>
      <c r="J29" s="35">
        <v>-1</v>
      </c>
      <c r="K29" s="35">
        <v>-1</v>
      </c>
      <c r="L29" s="35">
        <v>-1</v>
      </c>
      <c r="M29" s="35">
        <v>-1</v>
      </c>
      <c r="N29" s="35">
        <v>-1</v>
      </c>
      <c r="O29" s="35">
        <v>-1</v>
      </c>
      <c r="P29" s="35">
        <v>-1</v>
      </c>
      <c r="Q29" s="35">
        <v>-1</v>
      </c>
      <c r="S29" s="5" t="str">
        <f>IF(_xlfn.XLOOKUP(StatTbl[[#This Row],[Join]],TargetSlots[Join],TargetSlots[Join],"Не найдено")&lt;&gt;"Не найдено","Ищем","Не ищем")</f>
        <v>Не ищем</v>
      </c>
      <c r="T29" s="4" t="str">
        <f ca="1">IF(COUNTIFS(OFFSET(D29:$Q29,0,SearchDay-1,,15-SearchDay),"&lt;="&amp; ValidC,OFFSET(D29:$Q29,0,SearchDay-1,,15-SearchDay),"&gt;-1")&gt;0,"Есть слот!","Ничего")</f>
        <v>Ничего</v>
      </c>
      <c r="U29">
        <f ca="1">IF(S29="Ищем",IF(StatTbl[[#This Row],[Доступность]]="Есть слот!",COUNTIFS(OFFSET(D29:$Q29,0,SearchDay-1),"&lt;="&amp; ValidC,OFFSET(D29:$Q29,0,SearchDay-1),"&gt;-1"),0),0)</f>
        <v>0</v>
      </c>
      <c r="V29" t="str" cm="1">
        <f t="array" aca="1" ref="V29" ca="1">IF(StatTbl[[#This Row],[Кол-во слотов]]&gt;0, B29&amp;" "&amp;C29&amp;" "&amp;_xlfn.TEXTJOIN(", ",FALSE,TEXT(_xlfn._xlws.FILTER(OFFSET($D$8:$Q$8,0,SearchDay-1,,15-SearchDay),(OFFSET(D29:Q29,0,SearchDay-1,,15-SearchDay)&gt;-1)*(OFFSET(D29:Q29,0,SearchDay-1,,15-SearchDay)&lt;=ValidC)),"ДД/ММ")),"")</f>
        <v/>
      </c>
      <c r="W29" t="str">
        <f t="shared" si="0"/>
        <v>ВолгоградКороба</v>
      </c>
    </row>
    <row r="30" spans="2:23" x14ac:dyDescent="0.45">
      <c r="B30" s="12" t="s">
        <v>13</v>
      </c>
      <c r="C30" s="12" t="s">
        <v>110</v>
      </c>
      <c r="D30" s="35">
        <v>-1</v>
      </c>
      <c r="E30" s="35">
        <v>-1</v>
      </c>
      <c r="F30" s="35">
        <v>-1</v>
      </c>
      <c r="G30" s="35">
        <v>-1</v>
      </c>
      <c r="H30" s="35">
        <v>-1</v>
      </c>
      <c r="I30" s="35">
        <v>-1</v>
      </c>
      <c r="J30" s="35">
        <v>-1</v>
      </c>
      <c r="K30" s="35">
        <v>-1</v>
      </c>
      <c r="L30" s="35">
        <v>-1</v>
      </c>
      <c r="M30" s="35">
        <v>-1</v>
      </c>
      <c r="N30" s="35">
        <v>-1</v>
      </c>
      <c r="O30" s="35">
        <v>-1</v>
      </c>
      <c r="P30" s="35">
        <v>-1</v>
      </c>
      <c r="Q30" s="35">
        <v>-1</v>
      </c>
      <c r="S30" s="5" t="str">
        <f>IF(_xlfn.XLOOKUP(StatTbl[[#This Row],[Join]],TargetSlots[Join],TargetSlots[Join],"Не найдено")&lt;&gt;"Не найдено","Ищем","Не ищем")</f>
        <v>Не ищем</v>
      </c>
      <c r="T30" s="4" t="str">
        <f ca="1">IF(COUNTIFS(OFFSET(D30:$Q30,0,SearchDay-1,,15-SearchDay),"&lt;="&amp; ValidC,OFFSET(D30:$Q30,0,SearchDay-1,,15-SearchDay),"&gt;-1")&gt;0,"Есть слот!","Ничего")</f>
        <v>Ничего</v>
      </c>
      <c r="U30">
        <f ca="1">IF(S30="Ищем",IF(StatTbl[[#This Row],[Доступность]]="Есть слот!",COUNTIFS(OFFSET(D30:$Q30,0,SearchDay-1),"&lt;="&amp; ValidC,OFFSET(D30:$Q30,0,SearchDay-1),"&gt;-1"),0),0)</f>
        <v>0</v>
      </c>
      <c r="V30" t="str" cm="1">
        <f t="array" aca="1" ref="V30" ca="1">IF(StatTbl[[#This Row],[Кол-во слотов]]&gt;0, B30&amp;" "&amp;C30&amp;" "&amp;_xlfn.TEXTJOIN(", ",FALSE,TEXT(_xlfn._xlws.FILTER(OFFSET($D$8:$Q$8,0,SearchDay-1,,15-SearchDay),(OFFSET(D30:Q30,0,SearchDay-1,,15-SearchDay)&gt;-1)*(OFFSET(D30:Q30,0,SearchDay-1,,15-SearchDay)&lt;=ValidC)),"ДД/ММ")),"")</f>
        <v/>
      </c>
      <c r="W30" t="str">
        <f t="shared" si="0"/>
        <v>ВолгоградМонопаллеты</v>
      </c>
    </row>
    <row r="31" spans="2:23" x14ac:dyDescent="0.45">
      <c r="B31" s="12" t="s">
        <v>13</v>
      </c>
      <c r="C31" s="12" t="s">
        <v>6</v>
      </c>
      <c r="D31" s="35">
        <v>-1</v>
      </c>
      <c r="E31" s="35">
        <v>-1</v>
      </c>
      <c r="F31" s="35">
        <v>-1</v>
      </c>
      <c r="G31" s="35">
        <v>-1</v>
      </c>
      <c r="H31" s="35">
        <v>-1</v>
      </c>
      <c r="I31" s="35">
        <v>-1</v>
      </c>
      <c r="J31" s="35">
        <v>-1</v>
      </c>
      <c r="K31" s="35">
        <v>-1</v>
      </c>
      <c r="L31" s="35">
        <v>-1</v>
      </c>
      <c r="M31" s="35">
        <v>-1</v>
      </c>
      <c r="N31" s="35">
        <v>-1</v>
      </c>
      <c r="O31" s="35">
        <v>-1</v>
      </c>
      <c r="P31" s="35">
        <v>-1</v>
      </c>
      <c r="Q31" s="35">
        <v>-1</v>
      </c>
      <c r="S31" s="5" t="str">
        <f>IF(_xlfn.XLOOKUP(StatTbl[[#This Row],[Join]],TargetSlots[Join],TargetSlots[Join],"Не найдено")&lt;&gt;"Не найдено","Ищем","Не ищем")</f>
        <v>Не ищем</v>
      </c>
      <c r="T31" s="4" t="str">
        <f ca="1">IF(COUNTIFS(OFFSET(D31:$Q31,0,SearchDay-1,,15-SearchDay),"&lt;="&amp; ValidC,OFFSET(D31:$Q31,0,SearchDay-1,,15-SearchDay),"&gt;-1")&gt;0,"Есть слот!","Ничего")</f>
        <v>Ничего</v>
      </c>
      <c r="U31">
        <f ca="1">IF(S31="Ищем",IF(StatTbl[[#This Row],[Доступность]]="Есть слот!",COUNTIFS(OFFSET(D31:$Q31,0,SearchDay-1),"&lt;="&amp; ValidC,OFFSET(D31:$Q31,0,SearchDay-1),"&gt;-1"),0),0)</f>
        <v>0</v>
      </c>
      <c r="V31" t="str" cm="1">
        <f t="array" aca="1" ref="V31" ca="1">IF(StatTbl[[#This Row],[Кол-во слотов]]&gt;0, B31&amp;" "&amp;C31&amp;" "&amp;_xlfn.TEXTJOIN(", ",FALSE,TEXT(_xlfn._xlws.FILTER(OFFSET($D$8:$Q$8,0,SearchDay-1,,15-SearchDay),(OFFSET(D31:Q31,0,SearchDay-1,,15-SearchDay)&gt;-1)*(OFFSET(D31:Q31,0,SearchDay-1,,15-SearchDay)&lt;=ValidC)),"ДД/ММ")),"")</f>
        <v/>
      </c>
      <c r="W31" t="str">
        <f t="shared" si="0"/>
        <v>ВолгоградСуперсейф</v>
      </c>
    </row>
    <row r="32" spans="2:23" x14ac:dyDescent="0.45">
      <c r="B32" s="12" t="s">
        <v>13</v>
      </c>
      <c r="C32" s="12" t="s">
        <v>111</v>
      </c>
      <c r="D32" s="35">
        <v>-1</v>
      </c>
      <c r="E32" s="35">
        <v>-1</v>
      </c>
      <c r="F32" s="35">
        <v>-1</v>
      </c>
      <c r="G32" s="35">
        <v>-1</v>
      </c>
      <c r="H32" s="35">
        <v>-1</v>
      </c>
      <c r="I32" s="35">
        <v>-1</v>
      </c>
      <c r="J32" s="35">
        <v>-1</v>
      </c>
      <c r="K32" s="35">
        <v>-1</v>
      </c>
      <c r="L32" s="35">
        <v>-1</v>
      </c>
      <c r="M32" s="35">
        <v>-1</v>
      </c>
      <c r="N32" s="35">
        <v>-1</v>
      </c>
      <c r="O32" s="35">
        <v>-1</v>
      </c>
      <c r="P32" s="35">
        <v>-1</v>
      </c>
      <c r="Q32" s="35">
        <v>-1</v>
      </c>
      <c r="S32" s="5" t="str">
        <f>IF(_xlfn.XLOOKUP(StatTbl[[#This Row],[Join]],TargetSlots[Join],TargetSlots[Join],"Не найдено")&lt;&gt;"Не найдено","Ищем","Не ищем")</f>
        <v>Не ищем</v>
      </c>
      <c r="T32" s="4" t="str">
        <f ca="1">IF(COUNTIFS(OFFSET(D32:$Q32,0,SearchDay-1,,15-SearchDay),"&lt;="&amp; ValidC,OFFSET(D32:$Q32,0,SearchDay-1,,15-SearchDay),"&gt;-1")&gt;0,"Есть слот!","Ничего")</f>
        <v>Ничего</v>
      </c>
      <c r="U32">
        <f ca="1">IF(S32="Ищем",IF(StatTbl[[#This Row],[Доступность]]="Есть слот!",COUNTIFS(OFFSET(D32:$Q32,0,SearchDay-1),"&lt;="&amp; ValidC,OFFSET(D32:$Q32,0,SearchDay-1),"&gt;-1"),0),0)</f>
        <v>0</v>
      </c>
      <c r="V32" t="str" cm="1">
        <f t="array" aca="1" ref="V32" ca="1">IF(StatTbl[[#This Row],[Кол-во слотов]]&gt;0, B32&amp;" "&amp;C32&amp;" "&amp;_xlfn.TEXTJOIN(", ",FALSE,TEXT(_xlfn._xlws.FILTER(OFFSET($D$8:$Q$8,0,SearchDay-1,,15-SearchDay),(OFFSET(D32:Q32,0,SearchDay-1,,15-SearchDay)&gt;-1)*(OFFSET(D32:Q32,0,SearchDay-1,,15-SearchDay)&lt;=ValidC)),"ДД/ММ")),"")</f>
        <v/>
      </c>
      <c r="W32" t="str">
        <f t="shared" si="0"/>
        <v>ВолгоградQR-поставка</v>
      </c>
    </row>
    <row r="33" spans="2:23" x14ac:dyDescent="0.45">
      <c r="B33" s="12" t="s">
        <v>14</v>
      </c>
      <c r="C33" s="12" t="s">
        <v>109</v>
      </c>
      <c r="D33" s="35">
        <v>-1</v>
      </c>
      <c r="E33" s="35">
        <v>-1</v>
      </c>
      <c r="F33" s="35">
        <v>-1</v>
      </c>
      <c r="G33" s="35">
        <v>-1</v>
      </c>
      <c r="H33" s="35">
        <v>-1</v>
      </c>
      <c r="I33" s="35">
        <v>-1</v>
      </c>
      <c r="J33" s="35">
        <v>-1</v>
      </c>
      <c r="K33" s="35">
        <v>-1</v>
      </c>
      <c r="L33" s="35">
        <v>-1</v>
      </c>
      <c r="M33" s="35">
        <v>-1</v>
      </c>
      <c r="N33" s="35">
        <v>-1</v>
      </c>
      <c r="O33" s="35">
        <v>-1</v>
      </c>
      <c r="P33" s="35">
        <v>-1</v>
      </c>
      <c r="Q33" s="35">
        <v>-1</v>
      </c>
      <c r="S33" s="5" t="str">
        <f>IF(_xlfn.XLOOKUP(StatTbl[[#This Row],[Join]],TargetSlots[Join],TargetSlots[Join],"Не найдено")&lt;&gt;"Не найдено","Ищем","Не ищем")</f>
        <v>Не ищем</v>
      </c>
      <c r="T33" s="4" t="str">
        <f ca="1">IF(COUNTIFS(OFFSET(D33:$Q33,0,SearchDay-1,,15-SearchDay),"&lt;="&amp; ValidC,OFFSET(D33:$Q33,0,SearchDay-1,,15-SearchDay),"&gt;-1")&gt;0,"Есть слот!","Ничего")</f>
        <v>Ничего</v>
      </c>
      <c r="U33">
        <f ca="1">IF(S33="Ищем",IF(StatTbl[[#This Row],[Доступность]]="Есть слот!",COUNTIFS(OFFSET(D33:$Q33,0,SearchDay-1),"&lt;="&amp; ValidC,OFFSET(D33:$Q33,0,SearchDay-1),"&gt;-1"),0),0)</f>
        <v>0</v>
      </c>
      <c r="V33" t="str" cm="1">
        <f t="array" aca="1" ref="V33" ca="1">IF(StatTbl[[#This Row],[Кол-во слотов]]&gt;0, B33&amp;" "&amp;C33&amp;" "&amp;_xlfn.TEXTJOIN(", ",FALSE,TEXT(_xlfn._xlws.FILTER(OFFSET($D$8:$Q$8,0,SearchDay-1,,15-SearchDay),(OFFSET(D33:Q33,0,SearchDay-1,,15-SearchDay)&gt;-1)*(OFFSET(D33:Q33,0,SearchDay-1,,15-SearchDay)&lt;=ValidC)),"ДД/ММ")),"")</f>
        <v/>
      </c>
      <c r="W33" t="str">
        <f t="shared" si="0"/>
        <v>Голицыно СГТКороба</v>
      </c>
    </row>
    <row r="34" spans="2:23" x14ac:dyDescent="0.45">
      <c r="B34" s="12" t="s">
        <v>14</v>
      </c>
      <c r="C34" s="12" t="s">
        <v>110</v>
      </c>
      <c r="D34" s="35">
        <v>-1</v>
      </c>
      <c r="E34" s="35">
        <v>-1</v>
      </c>
      <c r="F34" s="35">
        <v>-1</v>
      </c>
      <c r="G34" s="35">
        <v>-1</v>
      </c>
      <c r="H34" s="35">
        <v>-1</v>
      </c>
      <c r="I34" s="35">
        <v>-1</v>
      </c>
      <c r="J34" s="35">
        <v>-1</v>
      </c>
      <c r="K34" s="35">
        <v>-1</v>
      </c>
      <c r="L34" s="35">
        <v>-1</v>
      </c>
      <c r="M34" s="35">
        <v>-1</v>
      </c>
      <c r="N34" s="35">
        <v>-1</v>
      </c>
      <c r="O34" s="35">
        <v>-1</v>
      </c>
      <c r="P34" s="35">
        <v>-1</v>
      </c>
      <c r="Q34" s="35">
        <v>-1</v>
      </c>
      <c r="S34" s="5" t="str">
        <f>IF(_xlfn.XLOOKUP(StatTbl[[#This Row],[Join]],TargetSlots[Join],TargetSlots[Join],"Не найдено")&lt;&gt;"Не найдено","Ищем","Не ищем")</f>
        <v>Не ищем</v>
      </c>
      <c r="T34" s="4" t="str">
        <f ca="1">IF(COUNTIFS(OFFSET(D34:$Q34,0,SearchDay-1,,15-SearchDay),"&lt;="&amp; ValidC,OFFSET(D34:$Q34,0,SearchDay-1,,15-SearchDay),"&gt;-1")&gt;0,"Есть слот!","Ничего")</f>
        <v>Ничего</v>
      </c>
      <c r="U34">
        <f ca="1">IF(S34="Ищем",IF(StatTbl[[#This Row],[Доступность]]="Есть слот!",COUNTIFS(OFFSET(D34:$Q34,0,SearchDay-1),"&lt;="&amp; ValidC,OFFSET(D34:$Q34,0,SearchDay-1),"&gt;-1"),0),0)</f>
        <v>0</v>
      </c>
      <c r="V34" t="str" cm="1">
        <f t="array" aca="1" ref="V34" ca="1">IF(StatTbl[[#This Row],[Кол-во слотов]]&gt;0, B34&amp;" "&amp;C34&amp;" "&amp;_xlfn.TEXTJOIN(", ",FALSE,TEXT(_xlfn._xlws.FILTER(OFFSET($D$8:$Q$8,0,SearchDay-1,,15-SearchDay),(OFFSET(D34:Q34,0,SearchDay-1,,15-SearchDay)&gt;-1)*(OFFSET(D34:Q34,0,SearchDay-1,,15-SearchDay)&lt;=ValidC)),"ДД/ММ")),"")</f>
        <v/>
      </c>
      <c r="W34" t="str">
        <f t="shared" si="0"/>
        <v>Голицыно СГТМонопаллеты</v>
      </c>
    </row>
    <row r="35" spans="2:23" x14ac:dyDescent="0.45">
      <c r="B35" s="12" t="s">
        <v>14</v>
      </c>
      <c r="C35" s="12" t="s">
        <v>6</v>
      </c>
      <c r="D35" s="35">
        <v>-1</v>
      </c>
      <c r="E35" s="35">
        <v>-1</v>
      </c>
      <c r="F35" s="35">
        <v>-1</v>
      </c>
      <c r="G35" s="35">
        <v>-1</v>
      </c>
      <c r="H35" s="35">
        <v>-1</v>
      </c>
      <c r="I35" s="35">
        <v>-1</v>
      </c>
      <c r="J35" s="35">
        <v>-1</v>
      </c>
      <c r="K35" s="35">
        <v>-1</v>
      </c>
      <c r="L35" s="35">
        <v>-1</v>
      </c>
      <c r="M35" s="35">
        <v>-1</v>
      </c>
      <c r="N35" s="35">
        <v>-1</v>
      </c>
      <c r="O35" s="35">
        <v>-1</v>
      </c>
      <c r="P35" s="35">
        <v>-1</v>
      </c>
      <c r="Q35" s="35">
        <v>-1</v>
      </c>
      <c r="S35" s="5" t="str">
        <f>IF(_xlfn.XLOOKUP(StatTbl[[#This Row],[Join]],TargetSlots[Join],TargetSlots[Join],"Не найдено")&lt;&gt;"Не найдено","Ищем","Не ищем")</f>
        <v>Не ищем</v>
      </c>
      <c r="T35" s="4" t="str">
        <f ca="1">IF(COUNTIFS(OFFSET(D35:$Q35,0,SearchDay-1,,15-SearchDay),"&lt;="&amp; ValidC,OFFSET(D35:$Q35,0,SearchDay-1,,15-SearchDay),"&gt;-1")&gt;0,"Есть слот!","Ничего")</f>
        <v>Ничего</v>
      </c>
      <c r="U35">
        <f ca="1">IF(S35="Ищем",IF(StatTbl[[#This Row],[Доступность]]="Есть слот!",COUNTIFS(OFFSET(D35:$Q35,0,SearchDay-1),"&lt;="&amp; ValidC,OFFSET(D35:$Q35,0,SearchDay-1),"&gt;-1"),0),0)</f>
        <v>0</v>
      </c>
      <c r="V35" t="str" cm="1">
        <f t="array" aca="1" ref="V35" ca="1">IF(StatTbl[[#This Row],[Кол-во слотов]]&gt;0, B35&amp;" "&amp;C35&amp;" "&amp;_xlfn.TEXTJOIN(", ",FALSE,TEXT(_xlfn._xlws.FILTER(OFFSET($D$8:$Q$8,0,SearchDay-1,,15-SearchDay),(OFFSET(D35:Q35,0,SearchDay-1,,15-SearchDay)&gt;-1)*(OFFSET(D35:Q35,0,SearchDay-1,,15-SearchDay)&lt;=ValidC)),"ДД/ММ")),"")</f>
        <v/>
      </c>
      <c r="W35" t="str">
        <f t="shared" si="0"/>
        <v>Голицыно СГТСуперсейф</v>
      </c>
    </row>
    <row r="36" spans="2:23" x14ac:dyDescent="0.45">
      <c r="B36" s="12" t="s">
        <v>14</v>
      </c>
      <c r="C36" s="12" t="s">
        <v>111</v>
      </c>
      <c r="D36" s="35">
        <v>-1</v>
      </c>
      <c r="E36" s="35">
        <v>-1</v>
      </c>
      <c r="F36" s="35">
        <v>-1</v>
      </c>
      <c r="G36" s="35">
        <v>-1</v>
      </c>
      <c r="H36" s="35">
        <v>-1</v>
      </c>
      <c r="I36" s="35">
        <v>-1</v>
      </c>
      <c r="J36" s="35">
        <v>-1</v>
      </c>
      <c r="K36" s="35">
        <v>-1</v>
      </c>
      <c r="L36" s="35">
        <v>-1</v>
      </c>
      <c r="M36" s="35">
        <v>-1</v>
      </c>
      <c r="N36" s="35">
        <v>-1</v>
      </c>
      <c r="O36" s="35">
        <v>-1</v>
      </c>
      <c r="P36" s="35">
        <v>-1</v>
      </c>
      <c r="Q36" s="35">
        <v>-1</v>
      </c>
      <c r="S36" s="5" t="str">
        <f>IF(_xlfn.XLOOKUP(StatTbl[[#This Row],[Join]],TargetSlots[Join],TargetSlots[Join],"Не найдено")&lt;&gt;"Не найдено","Ищем","Не ищем")</f>
        <v>Не ищем</v>
      </c>
      <c r="T36" s="4" t="str">
        <f ca="1">IF(COUNTIFS(OFFSET(D36:$Q36,0,SearchDay-1,,15-SearchDay),"&lt;="&amp; ValidC,OFFSET(D36:$Q36,0,SearchDay-1,,15-SearchDay),"&gt;-1")&gt;0,"Есть слот!","Ничего")</f>
        <v>Ничего</v>
      </c>
      <c r="U36">
        <f ca="1">IF(S36="Ищем",IF(StatTbl[[#This Row],[Доступность]]="Есть слот!",COUNTIFS(OFFSET(D36:$Q36,0,SearchDay-1),"&lt;="&amp; ValidC,OFFSET(D36:$Q36,0,SearchDay-1),"&gt;-1"),0),0)</f>
        <v>0</v>
      </c>
      <c r="V36" t="str" cm="1">
        <f t="array" aca="1" ref="V36" ca="1">IF(StatTbl[[#This Row],[Кол-во слотов]]&gt;0, B36&amp;" "&amp;C36&amp;" "&amp;_xlfn.TEXTJOIN(", ",FALSE,TEXT(_xlfn._xlws.FILTER(OFFSET($D$8:$Q$8,0,SearchDay-1,,15-SearchDay),(OFFSET(D36:Q36,0,SearchDay-1,,15-SearchDay)&gt;-1)*(OFFSET(D36:Q36,0,SearchDay-1,,15-SearchDay)&lt;=ValidC)),"ДД/ММ")),"")</f>
        <v/>
      </c>
      <c r="W36" t="str">
        <f t="shared" si="0"/>
        <v>Голицыно СГТQR-поставка</v>
      </c>
    </row>
    <row r="37" spans="2:23" x14ac:dyDescent="0.45">
      <c r="B37" s="12" t="s">
        <v>15</v>
      </c>
      <c r="C37" s="12" t="s">
        <v>109</v>
      </c>
      <c r="D37" s="35">
        <v>10</v>
      </c>
      <c r="E37" s="35">
        <v>-1</v>
      </c>
      <c r="F37" s="35">
        <v>-1</v>
      </c>
      <c r="G37" s="35">
        <v>-1</v>
      </c>
      <c r="H37" s="35">
        <v>-1</v>
      </c>
      <c r="I37" s="35">
        <v>-1</v>
      </c>
      <c r="J37" s="35">
        <v>-1</v>
      </c>
      <c r="K37" s="35">
        <v>-1</v>
      </c>
      <c r="L37" s="35">
        <v>-1</v>
      </c>
      <c r="M37" s="35">
        <v>-1</v>
      </c>
      <c r="N37" s="35">
        <v>-1</v>
      </c>
      <c r="O37" s="35">
        <v>-1</v>
      </c>
      <c r="P37" s="35">
        <v>-1</v>
      </c>
      <c r="Q37" s="35">
        <v>-1</v>
      </c>
      <c r="S37" s="5" t="str">
        <f>IF(_xlfn.XLOOKUP(StatTbl[[#This Row],[Join]],TargetSlots[Join],TargetSlots[Join],"Не найдено")&lt;&gt;"Не найдено","Ищем","Не ищем")</f>
        <v>Не ищем</v>
      </c>
      <c r="T37" s="4" t="str">
        <f ca="1">IF(COUNTIFS(OFFSET(D37:$Q37,0,SearchDay-1,,15-SearchDay),"&lt;="&amp; ValidC,OFFSET(D37:$Q37,0,SearchDay-1,,15-SearchDay),"&gt;-1")&gt;0,"Есть слот!","Ничего")</f>
        <v>Ничего</v>
      </c>
      <c r="U37">
        <f ca="1">IF(S37="Ищем",IF(StatTbl[[#This Row],[Доступность]]="Есть слот!",COUNTIFS(OFFSET(D37:$Q37,0,SearchDay-1),"&lt;="&amp; ValidC,OFFSET(D37:$Q37,0,SearchDay-1),"&gt;-1"),0),0)</f>
        <v>0</v>
      </c>
      <c r="V37" t="str" cm="1">
        <f t="array" aca="1" ref="V37" ca="1">IF(StatTbl[[#This Row],[Кол-во слотов]]&gt;0, B37&amp;" "&amp;C37&amp;" "&amp;_xlfn.TEXTJOIN(", ",FALSE,TEXT(_xlfn._xlws.FILTER(OFFSET($D$8:$Q$8,0,SearchDay-1,,15-SearchDay),(OFFSET(D37:Q37,0,SearchDay-1,,15-SearchDay)&gt;-1)*(OFFSET(D37:Q37,0,SearchDay-1,,15-SearchDay)&lt;=ValidC)),"ДД/ММ")),"")</f>
        <v/>
      </c>
      <c r="W37" t="str">
        <f t="shared" si="0"/>
        <v>Екатеринбург - Испытателей 14гКороба</v>
      </c>
    </row>
    <row r="38" spans="2:23" x14ac:dyDescent="0.45">
      <c r="B38" s="12" t="s">
        <v>15</v>
      </c>
      <c r="C38" s="12" t="s">
        <v>110</v>
      </c>
      <c r="D38" s="35">
        <v>-1</v>
      </c>
      <c r="E38" s="35">
        <v>-1</v>
      </c>
      <c r="F38" s="35">
        <v>-1</v>
      </c>
      <c r="G38" s="35">
        <v>-1</v>
      </c>
      <c r="H38" s="35">
        <v>-1</v>
      </c>
      <c r="I38" s="35">
        <v>-1</v>
      </c>
      <c r="J38" s="35">
        <v>-1</v>
      </c>
      <c r="K38" s="35">
        <v>-1</v>
      </c>
      <c r="L38" s="35">
        <v>-1</v>
      </c>
      <c r="M38" s="35">
        <v>-1</v>
      </c>
      <c r="N38" s="35">
        <v>-1</v>
      </c>
      <c r="O38" s="35">
        <v>-1</v>
      </c>
      <c r="P38" s="35">
        <v>-1</v>
      </c>
      <c r="Q38" s="35">
        <v>-1</v>
      </c>
      <c r="S38" s="5" t="str">
        <f>IF(_xlfn.XLOOKUP(StatTbl[[#This Row],[Join]],TargetSlots[Join],TargetSlots[Join],"Не найдено")&lt;&gt;"Не найдено","Ищем","Не ищем")</f>
        <v>Не ищем</v>
      </c>
      <c r="T38" s="4" t="str">
        <f ca="1">IF(COUNTIFS(OFFSET(D38:$Q38,0,SearchDay-1,,15-SearchDay),"&lt;="&amp; ValidC,OFFSET(D38:$Q38,0,SearchDay-1,,15-SearchDay),"&gt;-1")&gt;0,"Есть слот!","Ничего")</f>
        <v>Ничего</v>
      </c>
      <c r="U38">
        <f ca="1">IF(S38="Ищем",IF(StatTbl[[#This Row],[Доступность]]="Есть слот!",COUNTIFS(OFFSET(D38:$Q38,0,SearchDay-1),"&lt;="&amp; ValidC,OFFSET(D38:$Q38,0,SearchDay-1),"&gt;-1"),0),0)</f>
        <v>0</v>
      </c>
      <c r="V38" t="str" cm="1">
        <f t="array" aca="1" ref="V38" ca="1">IF(StatTbl[[#This Row],[Кол-во слотов]]&gt;0, B38&amp;" "&amp;C38&amp;" "&amp;_xlfn.TEXTJOIN(", ",FALSE,TEXT(_xlfn._xlws.FILTER(OFFSET($D$8:$Q$8,0,SearchDay-1,,15-SearchDay),(OFFSET(D38:Q38,0,SearchDay-1,,15-SearchDay)&gt;-1)*(OFFSET(D38:Q38,0,SearchDay-1,,15-SearchDay)&lt;=ValidC)),"ДД/ММ")),"")</f>
        <v/>
      </c>
      <c r="W38" t="str">
        <f t="shared" si="0"/>
        <v>Екатеринбург - Испытателей 14гМонопаллеты</v>
      </c>
    </row>
    <row r="39" spans="2:23" x14ac:dyDescent="0.45">
      <c r="B39" s="12" t="s">
        <v>15</v>
      </c>
      <c r="C39" s="12" t="s">
        <v>6</v>
      </c>
      <c r="D39" s="35">
        <v>10</v>
      </c>
      <c r="E39" s="35">
        <v>10</v>
      </c>
      <c r="F39" s="35">
        <v>10</v>
      </c>
      <c r="G39" s="35">
        <v>10</v>
      </c>
      <c r="H39" s="35">
        <v>10</v>
      </c>
      <c r="I39" s="35">
        <v>10</v>
      </c>
      <c r="J39" s="35">
        <v>10</v>
      </c>
      <c r="K39" s="35">
        <v>10</v>
      </c>
      <c r="L39" s="35">
        <v>10</v>
      </c>
      <c r="M39" s="35">
        <v>10</v>
      </c>
      <c r="N39" s="35">
        <v>10</v>
      </c>
      <c r="O39" s="35">
        <v>10</v>
      </c>
      <c r="P39" s="35">
        <v>10</v>
      </c>
      <c r="Q39" s="35">
        <v>10</v>
      </c>
      <c r="S39" s="5" t="str">
        <f>IF(_xlfn.XLOOKUP(StatTbl[[#This Row],[Join]],TargetSlots[Join],TargetSlots[Join],"Не найдено")&lt;&gt;"Не найдено","Ищем","Не ищем")</f>
        <v>Не ищем</v>
      </c>
      <c r="T39" s="4" t="str">
        <f ca="1">IF(COUNTIFS(OFFSET(D39:$Q39,0,SearchDay-1,,15-SearchDay),"&lt;="&amp; ValidC,OFFSET(D39:$Q39,0,SearchDay-1,,15-SearchDay),"&gt;-1")&gt;0,"Есть слот!","Ничего")</f>
        <v>Ничего</v>
      </c>
      <c r="U39">
        <f ca="1">IF(S39="Ищем",IF(StatTbl[[#This Row],[Доступность]]="Есть слот!",COUNTIFS(OFFSET(D39:$Q39,0,SearchDay-1),"&lt;="&amp; ValidC,OFFSET(D39:$Q39,0,SearchDay-1),"&gt;-1"),0),0)</f>
        <v>0</v>
      </c>
      <c r="V39" t="str" cm="1">
        <f t="array" aca="1" ref="V39" ca="1">IF(StatTbl[[#This Row],[Кол-во слотов]]&gt;0, B39&amp;" "&amp;C39&amp;" "&amp;_xlfn.TEXTJOIN(", ",FALSE,TEXT(_xlfn._xlws.FILTER(OFFSET($D$8:$Q$8,0,SearchDay-1,,15-SearchDay),(OFFSET(D39:Q39,0,SearchDay-1,,15-SearchDay)&gt;-1)*(OFFSET(D39:Q39,0,SearchDay-1,,15-SearchDay)&lt;=ValidC)),"ДД/ММ")),"")</f>
        <v/>
      </c>
      <c r="W39" t="str">
        <f t="shared" si="0"/>
        <v>Екатеринбург - Испытателей 14гСуперсейф</v>
      </c>
    </row>
    <row r="40" spans="2:23" x14ac:dyDescent="0.45">
      <c r="B40" s="12" t="s">
        <v>15</v>
      </c>
      <c r="C40" s="12" t="s">
        <v>111</v>
      </c>
      <c r="D40" s="35">
        <v>-1</v>
      </c>
      <c r="E40" s="35">
        <v>-1</v>
      </c>
      <c r="F40" s="35">
        <v>-1</v>
      </c>
      <c r="G40" s="35">
        <v>-1</v>
      </c>
      <c r="H40" s="35">
        <v>-1</v>
      </c>
      <c r="I40" s="35">
        <v>-1</v>
      </c>
      <c r="J40" s="35">
        <v>-1</v>
      </c>
      <c r="K40" s="35">
        <v>-1</v>
      </c>
      <c r="L40" s="35">
        <v>-1</v>
      </c>
      <c r="M40" s="35">
        <v>-1</v>
      </c>
      <c r="N40" s="35">
        <v>-1</v>
      </c>
      <c r="O40" s="35">
        <v>-1</v>
      </c>
      <c r="P40" s="35">
        <v>-1</v>
      </c>
      <c r="Q40" s="35">
        <v>-1</v>
      </c>
      <c r="S40" s="5" t="str">
        <f>IF(_xlfn.XLOOKUP(StatTbl[[#This Row],[Join]],TargetSlots[Join],TargetSlots[Join],"Не найдено")&lt;&gt;"Не найдено","Ищем","Не ищем")</f>
        <v>Не ищем</v>
      </c>
      <c r="T40" s="4" t="str">
        <f ca="1">IF(COUNTIFS(OFFSET(D40:$Q40,0,SearchDay-1,,15-SearchDay),"&lt;="&amp; ValidC,OFFSET(D40:$Q40,0,SearchDay-1,,15-SearchDay),"&gt;-1")&gt;0,"Есть слот!","Ничего")</f>
        <v>Ничего</v>
      </c>
      <c r="U40">
        <f ca="1">IF(S40="Ищем",IF(StatTbl[[#This Row],[Доступность]]="Есть слот!",COUNTIFS(OFFSET(D40:$Q40,0,SearchDay-1),"&lt;="&amp; ValidC,OFFSET(D40:$Q40,0,SearchDay-1),"&gt;-1"),0),0)</f>
        <v>0</v>
      </c>
      <c r="V40" t="str" cm="1">
        <f t="array" aca="1" ref="V40" ca="1">IF(StatTbl[[#This Row],[Кол-во слотов]]&gt;0, B40&amp;" "&amp;C40&amp;" "&amp;_xlfn.TEXTJOIN(", ",FALSE,TEXT(_xlfn._xlws.FILTER(OFFSET($D$8:$Q$8,0,SearchDay-1,,15-SearchDay),(OFFSET(D40:Q40,0,SearchDay-1,,15-SearchDay)&gt;-1)*(OFFSET(D40:Q40,0,SearchDay-1,,15-SearchDay)&lt;=ValidC)),"ДД/ММ")),"")</f>
        <v/>
      </c>
      <c r="W40" t="str">
        <f t="shared" si="0"/>
        <v>Екатеринбург - Испытателей 14гQR-поставка</v>
      </c>
    </row>
    <row r="41" spans="2:23" x14ac:dyDescent="0.45">
      <c r="B41" s="12" t="s">
        <v>16</v>
      </c>
      <c r="C41" s="12" t="s">
        <v>109</v>
      </c>
      <c r="D41" s="35">
        <v>-1</v>
      </c>
      <c r="E41" s="35">
        <v>-1</v>
      </c>
      <c r="F41" s="35">
        <v>-1</v>
      </c>
      <c r="G41" s="35">
        <v>-1</v>
      </c>
      <c r="H41" s="35">
        <v>-1</v>
      </c>
      <c r="I41" s="35">
        <v>-1</v>
      </c>
      <c r="J41" s="35">
        <v>-1</v>
      </c>
      <c r="K41" s="35">
        <v>-1</v>
      </c>
      <c r="L41" s="35">
        <v>-1</v>
      </c>
      <c r="M41" s="35">
        <v>-1</v>
      </c>
      <c r="N41" s="35">
        <v>-1</v>
      </c>
      <c r="O41" s="35">
        <v>-1</v>
      </c>
      <c r="P41" s="35">
        <v>-1</v>
      </c>
      <c r="Q41" s="35">
        <v>-1</v>
      </c>
      <c r="S41" s="5" t="str">
        <f>IF(_xlfn.XLOOKUP(StatTbl[[#This Row],[Join]],TargetSlots[Join],TargetSlots[Join],"Не найдено")&lt;&gt;"Не найдено","Ищем","Не ищем")</f>
        <v>Не ищем</v>
      </c>
      <c r="T41" s="4" t="str">
        <f ca="1">IF(COUNTIFS(OFFSET(D41:$Q41,0,SearchDay-1,,15-SearchDay),"&lt;="&amp; ValidC,OFFSET(D41:$Q41,0,SearchDay-1,,15-SearchDay),"&gt;-1")&gt;0,"Есть слот!","Ничего")</f>
        <v>Ничего</v>
      </c>
      <c r="U41">
        <f ca="1">IF(S41="Ищем",IF(StatTbl[[#This Row],[Доступность]]="Есть слот!",COUNTIFS(OFFSET(D41:$Q41,0,SearchDay-1),"&lt;="&amp; ValidC,OFFSET(D41:$Q41,0,SearchDay-1),"&gt;-1"),0),0)</f>
        <v>0</v>
      </c>
      <c r="V41" t="str" cm="1">
        <f t="array" aca="1" ref="V41" ca="1">IF(StatTbl[[#This Row],[Кол-во слотов]]&gt;0, B41&amp;" "&amp;C41&amp;" "&amp;_xlfn.TEXTJOIN(", ",FALSE,TEXT(_xlfn._xlws.FILTER(OFFSET($D$8:$Q$8,0,SearchDay-1,,15-SearchDay),(OFFSET(D41:Q41,0,SearchDay-1,,15-SearchDay)&gt;-1)*(OFFSET(D41:Q41,0,SearchDay-1,,15-SearchDay)&lt;=ValidC)),"ДД/ММ")),"")</f>
        <v/>
      </c>
      <c r="W41" t="str">
        <f t="shared" si="0"/>
        <v>Екатеринбург - Перспективный 12/2Короба</v>
      </c>
    </row>
    <row r="42" spans="2:23" x14ac:dyDescent="0.45">
      <c r="B42" s="12" t="s">
        <v>16</v>
      </c>
      <c r="C42" s="12" t="s">
        <v>110</v>
      </c>
      <c r="D42" s="35">
        <v>-1</v>
      </c>
      <c r="E42" s="35">
        <v>-1</v>
      </c>
      <c r="F42" s="35">
        <v>-1</v>
      </c>
      <c r="G42" s="35">
        <v>-1</v>
      </c>
      <c r="H42" s="35">
        <v>-1</v>
      </c>
      <c r="I42" s="35">
        <v>-1</v>
      </c>
      <c r="J42" s="35">
        <v>-1</v>
      </c>
      <c r="K42" s="35">
        <v>-1</v>
      </c>
      <c r="L42" s="35">
        <v>-1</v>
      </c>
      <c r="M42" s="35">
        <v>-1</v>
      </c>
      <c r="N42" s="35">
        <v>-1</v>
      </c>
      <c r="O42" s="35">
        <v>-1</v>
      </c>
      <c r="P42" s="35">
        <v>-1</v>
      </c>
      <c r="Q42" s="35">
        <v>-1</v>
      </c>
      <c r="S42" s="5" t="str">
        <f>IF(_xlfn.XLOOKUP(StatTbl[[#This Row],[Join]],TargetSlots[Join],TargetSlots[Join],"Не найдено")&lt;&gt;"Не найдено","Ищем","Не ищем")</f>
        <v>Не ищем</v>
      </c>
      <c r="T42" s="4" t="str">
        <f ca="1">IF(COUNTIFS(OFFSET(D42:$Q42,0,SearchDay-1,,15-SearchDay),"&lt;="&amp; ValidC,OFFSET(D42:$Q42,0,SearchDay-1,,15-SearchDay),"&gt;-1")&gt;0,"Есть слот!","Ничего")</f>
        <v>Ничего</v>
      </c>
      <c r="U42">
        <f ca="1">IF(S42="Ищем",IF(StatTbl[[#This Row],[Доступность]]="Есть слот!",COUNTIFS(OFFSET(D42:$Q42,0,SearchDay-1),"&lt;="&amp; ValidC,OFFSET(D42:$Q42,0,SearchDay-1),"&gt;-1"),0),0)</f>
        <v>0</v>
      </c>
      <c r="V42" t="str" cm="1">
        <f t="array" aca="1" ref="V42" ca="1">IF(StatTbl[[#This Row],[Кол-во слотов]]&gt;0, B42&amp;" "&amp;C42&amp;" "&amp;_xlfn.TEXTJOIN(", ",FALSE,TEXT(_xlfn._xlws.FILTER(OFFSET($D$8:$Q$8,0,SearchDay-1,,15-SearchDay),(OFFSET(D42:Q42,0,SearchDay-1,,15-SearchDay)&gt;-1)*(OFFSET(D42:Q42,0,SearchDay-1,,15-SearchDay)&lt;=ValidC)),"ДД/ММ")),"")</f>
        <v/>
      </c>
      <c r="W42" t="str">
        <f t="shared" si="0"/>
        <v>Екатеринбург - Перспективный 12/2Монопаллеты</v>
      </c>
    </row>
    <row r="43" spans="2:23" x14ac:dyDescent="0.45">
      <c r="B43" s="12" t="s">
        <v>16</v>
      </c>
      <c r="C43" s="12" t="s">
        <v>6</v>
      </c>
      <c r="D43" s="35">
        <v>-1</v>
      </c>
      <c r="E43" s="35">
        <v>-1</v>
      </c>
      <c r="F43" s="35">
        <v>-1</v>
      </c>
      <c r="G43" s="35">
        <v>-1</v>
      </c>
      <c r="H43" s="35">
        <v>-1</v>
      </c>
      <c r="I43" s="35">
        <v>-1</v>
      </c>
      <c r="J43" s="35">
        <v>-1</v>
      </c>
      <c r="K43" s="35">
        <v>-1</v>
      </c>
      <c r="L43" s="35">
        <v>-1</v>
      </c>
      <c r="M43" s="35">
        <v>-1</v>
      </c>
      <c r="N43" s="35">
        <v>-1</v>
      </c>
      <c r="O43" s="35">
        <v>-1</v>
      </c>
      <c r="P43" s="35">
        <v>-1</v>
      </c>
      <c r="Q43" s="35">
        <v>-1</v>
      </c>
      <c r="S43" s="5" t="str">
        <f>IF(_xlfn.XLOOKUP(StatTbl[[#This Row],[Join]],TargetSlots[Join],TargetSlots[Join],"Не найдено")&lt;&gt;"Не найдено","Ищем","Не ищем")</f>
        <v>Не ищем</v>
      </c>
      <c r="T43" s="4" t="str">
        <f ca="1">IF(COUNTIFS(OFFSET(D43:$Q43,0,SearchDay-1,,15-SearchDay),"&lt;="&amp; ValidC,OFFSET(D43:$Q43,0,SearchDay-1,,15-SearchDay),"&gt;-1")&gt;0,"Есть слот!","Ничего")</f>
        <v>Ничего</v>
      </c>
      <c r="U43">
        <f ca="1">IF(S43="Ищем",IF(StatTbl[[#This Row],[Доступность]]="Есть слот!",COUNTIFS(OFFSET(D43:$Q43,0,SearchDay-1),"&lt;="&amp; ValidC,OFFSET(D43:$Q43,0,SearchDay-1),"&gt;-1"),0),0)</f>
        <v>0</v>
      </c>
      <c r="V43" t="str" cm="1">
        <f t="array" aca="1" ref="V43" ca="1">IF(StatTbl[[#This Row],[Кол-во слотов]]&gt;0, B43&amp;" "&amp;C43&amp;" "&amp;_xlfn.TEXTJOIN(", ",FALSE,TEXT(_xlfn._xlws.FILTER(OFFSET($D$8:$Q$8,0,SearchDay-1,,15-SearchDay),(OFFSET(D43:Q43,0,SearchDay-1,,15-SearchDay)&gt;-1)*(OFFSET(D43:Q43,0,SearchDay-1,,15-SearchDay)&lt;=ValidC)),"ДД/ММ")),"")</f>
        <v/>
      </c>
      <c r="W43" t="str">
        <f t="shared" si="0"/>
        <v>Екатеринбург - Перспективный 12/2Суперсейф</v>
      </c>
    </row>
    <row r="44" spans="2:23" x14ac:dyDescent="0.45">
      <c r="B44" s="12" t="s">
        <v>16</v>
      </c>
      <c r="C44" s="12" t="s">
        <v>111</v>
      </c>
      <c r="D44" s="35">
        <v>-1</v>
      </c>
      <c r="E44" s="35">
        <v>-1</v>
      </c>
      <c r="F44" s="35">
        <v>-1</v>
      </c>
      <c r="G44" s="35">
        <v>-1</v>
      </c>
      <c r="H44" s="35">
        <v>-1</v>
      </c>
      <c r="I44" s="35">
        <v>-1</v>
      </c>
      <c r="J44" s="35">
        <v>-1</v>
      </c>
      <c r="K44" s="35">
        <v>-1</v>
      </c>
      <c r="L44" s="35">
        <v>-1</v>
      </c>
      <c r="M44" s="35">
        <v>-1</v>
      </c>
      <c r="N44" s="35">
        <v>-1</v>
      </c>
      <c r="O44" s="35">
        <v>-1</v>
      </c>
      <c r="P44" s="35">
        <v>-1</v>
      </c>
      <c r="Q44" s="35">
        <v>-1</v>
      </c>
      <c r="S44" s="5" t="str">
        <f>IF(_xlfn.XLOOKUP(StatTbl[[#This Row],[Join]],TargetSlots[Join],TargetSlots[Join],"Не найдено")&lt;&gt;"Не найдено","Ищем","Не ищем")</f>
        <v>Не ищем</v>
      </c>
      <c r="T44" s="4" t="str">
        <f ca="1">IF(COUNTIFS(OFFSET(D44:$Q44,0,SearchDay-1,,15-SearchDay),"&lt;="&amp; ValidC,OFFSET(D44:$Q44,0,SearchDay-1,,15-SearchDay),"&gt;-1")&gt;0,"Есть слот!","Ничего")</f>
        <v>Ничего</v>
      </c>
      <c r="U44">
        <f ca="1">IF(S44="Ищем",IF(StatTbl[[#This Row],[Доступность]]="Есть слот!",COUNTIFS(OFFSET(D44:$Q44,0,SearchDay-1),"&lt;="&amp; ValidC,OFFSET(D44:$Q44,0,SearchDay-1),"&gt;-1"),0),0)</f>
        <v>0</v>
      </c>
      <c r="V44" t="str" cm="1">
        <f t="array" aca="1" ref="V44" ca="1">IF(StatTbl[[#This Row],[Кол-во слотов]]&gt;0, B44&amp;" "&amp;C44&amp;" "&amp;_xlfn.TEXTJOIN(", ",FALSE,TEXT(_xlfn._xlws.FILTER(OFFSET($D$8:$Q$8,0,SearchDay-1,,15-SearchDay),(OFFSET(D44:Q44,0,SearchDay-1,,15-SearchDay)&gt;-1)*(OFFSET(D44:Q44,0,SearchDay-1,,15-SearchDay)&lt;=ValidC)),"ДД/ММ")),"")</f>
        <v/>
      </c>
      <c r="W44" t="str">
        <f t="shared" si="0"/>
        <v>Екатеринбург - Перспективный 12/2QR-поставка</v>
      </c>
    </row>
    <row r="45" spans="2:23" x14ac:dyDescent="0.45">
      <c r="B45" s="12" t="s">
        <v>17</v>
      </c>
      <c r="C45" s="12" t="s">
        <v>109</v>
      </c>
      <c r="D45" s="35">
        <v>5</v>
      </c>
      <c r="E45" s="35">
        <v>5</v>
      </c>
      <c r="F45" s="35">
        <v>-1</v>
      </c>
      <c r="G45" s="35">
        <v>-1</v>
      </c>
      <c r="H45" s="35">
        <v>-1</v>
      </c>
      <c r="I45" s="35">
        <v>-1</v>
      </c>
      <c r="J45" s="35">
        <v>-1</v>
      </c>
      <c r="K45" s="35">
        <v>-1</v>
      </c>
      <c r="L45" s="35">
        <v>-1</v>
      </c>
      <c r="M45" s="35">
        <v>-1</v>
      </c>
      <c r="N45" s="35">
        <v>-1</v>
      </c>
      <c r="O45" s="35">
        <v>-1</v>
      </c>
      <c r="P45" s="35">
        <v>-1</v>
      </c>
      <c r="Q45" s="35">
        <v>-1</v>
      </c>
      <c r="S45" s="5" t="str">
        <f>IF(_xlfn.XLOOKUP(StatTbl[[#This Row],[Join]],TargetSlots[Join],TargetSlots[Join],"Не найдено")&lt;&gt;"Не найдено","Ищем","Не ищем")</f>
        <v>Не ищем</v>
      </c>
      <c r="T45" s="4" t="str">
        <f ca="1">IF(COUNTIFS(OFFSET(D45:$Q45,0,SearchDay-1,,15-SearchDay),"&lt;="&amp; ValidC,OFFSET(D45:$Q45,0,SearchDay-1,,15-SearchDay),"&gt;-1")&gt;0,"Есть слот!","Ничего")</f>
        <v>Ничего</v>
      </c>
      <c r="U45">
        <f ca="1">IF(S45="Ищем",IF(StatTbl[[#This Row],[Доступность]]="Есть слот!",COUNTIFS(OFFSET(D45:$Q45,0,SearchDay-1),"&lt;="&amp; ValidC,OFFSET(D45:$Q45,0,SearchDay-1),"&gt;-1"),0),0)</f>
        <v>0</v>
      </c>
      <c r="V45" t="str" cm="1">
        <f t="array" aca="1" ref="V45" ca="1">IF(StatTbl[[#This Row],[Кол-во слотов]]&gt;0, B45&amp;" "&amp;C45&amp;" "&amp;_xlfn.TEXTJOIN(", ",FALSE,TEXT(_xlfn._xlws.FILTER(OFFSET($D$8:$Q$8,0,SearchDay-1,,15-SearchDay),(OFFSET(D45:Q45,0,SearchDay-1,,15-SearchDay)&gt;-1)*(OFFSET(D45:Q45,0,SearchDay-1,,15-SearchDay)&lt;=ValidC)),"ДД/ММ")),"")</f>
        <v/>
      </c>
      <c r="W45" t="str">
        <f t="shared" si="0"/>
        <v>КазаньКороба</v>
      </c>
    </row>
    <row r="46" spans="2:23" x14ac:dyDescent="0.45">
      <c r="B46" s="12" t="s">
        <v>17</v>
      </c>
      <c r="C46" s="12" t="s">
        <v>110</v>
      </c>
      <c r="D46" s="35">
        <v>5</v>
      </c>
      <c r="E46" s="35">
        <v>5</v>
      </c>
      <c r="F46" s="35">
        <v>-1</v>
      </c>
      <c r="G46" s="35">
        <v>-1</v>
      </c>
      <c r="H46" s="35">
        <v>-1</v>
      </c>
      <c r="I46" s="35">
        <v>-1</v>
      </c>
      <c r="J46" s="35">
        <v>-1</v>
      </c>
      <c r="K46" s="35">
        <v>-1</v>
      </c>
      <c r="L46" s="35">
        <v>-1</v>
      </c>
      <c r="M46" s="35">
        <v>-1</v>
      </c>
      <c r="N46" s="35">
        <v>-1</v>
      </c>
      <c r="O46" s="35">
        <v>-1</v>
      </c>
      <c r="P46" s="35">
        <v>-1</v>
      </c>
      <c r="Q46" s="35">
        <v>-1</v>
      </c>
      <c r="S46" s="5" t="str">
        <f>IF(_xlfn.XLOOKUP(StatTbl[[#This Row],[Join]],TargetSlots[Join],TargetSlots[Join],"Не найдено")&lt;&gt;"Не найдено","Ищем","Не ищем")</f>
        <v>Не ищем</v>
      </c>
      <c r="T46" s="4" t="str">
        <f ca="1">IF(COUNTIFS(OFFSET(D46:$Q46,0,SearchDay-1,,15-SearchDay),"&lt;="&amp; ValidC,OFFSET(D46:$Q46,0,SearchDay-1,,15-SearchDay),"&gt;-1")&gt;0,"Есть слот!","Ничего")</f>
        <v>Ничего</v>
      </c>
      <c r="U46">
        <f ca="1">IF(S46="Ищем",IF(StatTbl[[#This Row],[Доступность]]="Есть слот!",COUNTIFS(OFFSET(D46:$Q46,0,SearchDay-1),"&lt;="&amp; ValidC,OFFSET(D46:$Q46,0,SearchDay-1),"&gt;-1"),0),0)</f>
        <v>0</v>
      </c>
      <c r="V46" t="str" cm="1">
        <f t="array" aca="1" ref="V46" ca="1">IF(StatTbl[[#This Row],[Кол-во слотов]]&gt;0, B46&amp;" "&amp;C46&amp;" "&amp;_xlfn.TEXTJOIN(", ",FALSE,TEXT(_xlfn._xlws.FILTER(OFFSET($D$8:$Q$8,0,SearchDay-1,,15-SearchDay),(OFFSET(D46:Q46,0,SearchDay-1,,15-SearchDay)&gt;-1)*(OFFSET(D46:Q46,0,SearchDay-1,,15-SearchDay)&lt;=ValidC)),"ДД/ММ")),"")</f>
        <v/>
      </c>
      <c r="W46" t="str">
        <f t="shared" si="0"/>
        <v>КазаньМонопаллеты</v>
      </c>
    </row>
    <row r="47" spans="2:23" x14ac:dyDescent="0.45">
      <c r="B47" s="12" t="s">
        <v>17</v>
      </c>
      <c r="C47" s="12" t="s">
        <v>6</v>
      </c>
      <c r="D47" s="35">
        <v>5</v>
      </c>
      <c r="E47" s="35">
        <v>5</v>
      </c>
      <c r="F47" s="35">
        <v>5</v>
      </c>
      <c r="G47" s="35">
        <v>5</v>
      </c>
      <c r="H47" s="35">
        <v>5</v>
      </c>
      <c r="I47" s="35">
        <v>5</v>
      </c>
      <c r="J47" s="35">
        <v>5</v>
      </c>
      <c r="K47" s="35">
        <v>5</v>
      </c>
      <c r="L47" s="35">
        <v>5</v>
      </c>
      <c r="M47" s="35">
        <v>5</v>
      </c>
      <c r="N47" s="35">
        <v>5</v>
      </c>
      <c r="O47" s="35">
        <v>5</v>
      </c>
      <c r="P47" s="35">
        <v>5</v>
      </c>
      <c r="Q47" s="35">
        <v>5</v>
      </c>
      <c r="S47" s="5" t="str">
        <f>IF(_xlfn.XLOOKUP(StatTbl[[#This Row],[Join]],TargetSlots[Join],TargetSlots[Join],"Не найдено")&lt;&gt;"Не найдено","Ищем","Не ищем")</f>
        <v>Не ищем</v>
      </c>
      <c r="T47" s="4" t="str">
        <f ca="1">IF(COUNTIFS(OFFSET(D47:$Q47,0,SearchDay-1,,15-SearchDay),"&lt;="&amp; ValidC,OFFSET(D47:$Q47,0,SearchDay-1,,15-SearchDay),"&gt;-1")&gt;0,"Есть слот!","Ничего")</f>
        <v>Ничего</v>
      </c>
      <c r="U47">
        <f ca="1">IF(S47="Ищем",IF(StatTbl[[#This Row],[Доступность]]="Есть слот!",COUNTIFS(OFFSET(D47:$Q47,0,SearchDay-1),"&lt;="&amp; ValidC,OFFSET(D47:$Q47,0,SearchDay-1),"&gt;-1"),0),0)</f>
        <v>0</v>
      </c>
      <c r="V47" t="str" cm="1">
        <f t="array" aca="1" ref="V47" ca="1">IF(StatTbl[[#This Row],[Кол-во слотов]]&gt;0, B47&amp;" "&amp;C47&amp;" "&amp;_xlfn.TEXTJOIN(", ",FALSE,TEXT(_xlfn._xlws.FILTER(OFFSET($D$8:$Q$8,0,SearchDay-1,,15-SearchDay),(OFFSET(D47:Q47,0,SearchDay-1,,15-SearchDay)&gt;-1)*(OFFSET(D47:Q47,0,SearchDay-1,,15-SearchDay)&lt;=ValidC)),"ДД/ММ")),"")</f>
        <v/>
      </c>
      <c r="W47" t="str">
        <f t="shared" si="0"/>
        <v>КазаньСуперсейф</v>
      </c>
    </row>
    <row r="48" spans="2:23" x14ac:dyDescent="0.45">
      <c r="B48" s="12" t="s">
        <v>17</v>
      </c>
      <c r="C48" s="12" t="s">
        <v>111</v>
      </c>
      <c r="D48" s="35">
        <v>-1</v>
      </c>
      <c r="E48" s="35">
        <v>-1</v>
      </c>
      <c r="F48" s="35">
        <v>-1</v>
      </c>
      <c r="G48" s="35">
        <v>-1</v>
      </c>
      <c r="H48" s="35">
        <v>-1</v>
      </c>
      <c r="I48" s="35">
        <v>-1</v>
      </c>
      <c r="J48" s="35">
        <v>-1</v>
      </c>
      <c r="K48" s="35">
        <v>-1</v>
      </c>
      <c r="L48" s="35">
        <v>-1</v>
      </c>
      <c r="M48" s="35">
        <v>-1</v>
      </c>
      <c r="N48" s="35">
        <v>-1</v>
      </c>
      <c r="O48" s="35">
        <v>-1</v>
      </c>
      <c r="P48" s="35">
        <v>-1</v>
      </c>
      <c r="Q48" s="35">
        <v>-1</v>
      </c>
      <c r="S48" s="5" t="str">
        <f>IF(_xlfn.XLOOKUP(StatTbl[[#This Row],[Join]],TargetSlots[Join],TargetSlots[Join],"Не найдено")&lt;&gt;"Не найдено","Ищем","Не ищем")</f>
        <v>Не ищем</v>
      </c>
      <c r="T48" s="4" t="str">
        <f ca="1">IF(COUNTIFS(OFFSET(D48:$Q48,0,SearchDay-1,,15-SearchDay),"&lt;="&amp; ValidC,OFFSET(D48:$Q48,0,SearchDay-1,,15-SearchDay),"&gt;-1")&gt;0,"Есть слот!","Ничего")</f>
        <v>Ничего</v>
      </c>
      <c r="U48">
        <f ca="1">IF(S48="Ищем",IF(StatTbl[[#This Row],[Доступность]]="Есть слот!",COUNTIFS(OFFSET(D48:$Q48,0,SearchDay-1),"&lt;="&amp; ValidC,OFFSET(D48:$Q48,0,SearchDay-1),"&gt;-1"),0),0)</f>
        <v>0</v>
      </c>
      <c r="V48" t="str" cm="1">
        <f t="array" aca="1" ref="V48" ca="1">IF(StatTbl[[#This Row],[Кол-во слотов]]&gt;0, B48&amp;" "&amp;C48&amp;" "&amp;_xlfn.TEXTJOIN(", ",FALSE,TEXT(_xlfn._xlws.FILTER(OFFSET($D$8:$Q$8,0,SearchDay-1,,15-SearchDay),(OFFSET(D48:Q48,0,SearchDay-1,,15-SearchDay)&gt;-1)*(OFFSET(D48:Q48,0,SearchDay-1,,15-SearchDay)&lt;=ValidC)),"ДД/ММ")),"")</f>
        <v/>
      </c>
      <c r="W48" t="str">
        <f t="shared" si="0"/>
        <v>КазаньQR-поставка</v>
      </c>
    </row>
    <row r="49" spans="2:28" x14ac:dyDescent="0.45">
      <c r="B49" s="12" t="s">
        <v>18</v>
      </c>
      <c r="C49" s="12" t="s">
        <v>109</v>
      </c>
      <c r="D49" s="35">
        <v>20</v>
      </c>
      <c r="E49" s="35">
        <v>20</v>
      </c>
      <c r="F49" s="35">
        <v>20</v>
      </c>
      <c r="G49" s="35">
        <v>20</v>
      </c>
      <c r="H49" s="35">
        <v>20</v>
      </c>
      <c r="I49" s="35">
        <v>20</v>
      </c>
      <c r="J49" s="35">
        <v>20</v>
      </c>
      <c r="K49" s="35">
        <v>20</v>
      </c>
      <c r="L49" s="35">
        <v>20</v>
      </c>
      <c r="M49" s="35">
        <v>20</v>
      </c>
      <c r="N49" s="35">
        <v>20</v>
      </c>
      <c r="O49" s="35">
        <v>20</v>
      </c>
      <c r="P49" s="35">
        <v>20</v>
      </c>
      <c r="Q49" s="35">
        <v>20</v>
      </c>
      <c r="S49" s="5" t="str">
        <f>IF(_xlfn.XLOOKUP(StatTbl[[#This Row],[Join]],TargetSlots[Join],TargetSlots[Join],"Не найдено")&lt;&gt;"Не найдено","Ищем","Не ищем")</f>
        <v>Не ищем</v>
      </c>
      <c r="T49" s="4" t="str">
        <f ca="1">IF(COUNTIFS(OFFSET(D49:$Q49,0,SearchDay-1,,15-SearchDay),"&lt;="&amp; ValidC,OFFSET(D49:$Q49,0,SearchDay-1,,15-SearchDay),"&gt;-1")&gt;0,"Есть слот!","Ничего")</f>
        <v>Ничего</v>
      </c>
      <c r="U49">
        <f ca="1">IF(S49="Ищем",IF(StatTbl[[#This Row],[Доступность]]="Есть слот!",COUNTIFS(OFFSET(D49:$Q49,0,SearchDay-1),"&lt;="&amp; ValidC,OFFSET(D49:$Q49,0,SearchDay-1),"&gt;-1"),0),0)</f>
        <v>0</v>
      </c>
      <c r="V49" t="str" cm="1">
        <f t="array" aca="1" ref="V49" ca="1">IF(StatTbl[[#This Row],[Кол-во слотов]]&gt;0, B49&amp;" "&amp;C49&amp;" "&amp;_xlfn.TEXTJOIN(", ",FALSE,TEXT(_xlfn._xlws.FILTER(OFFSET($D$8:$Q$8,0,SearchDay-1,,15-SearchDay),(OFFSET(D49:Q49,0,SearchDay-1,,15-SearchDay)&gt;-1)*(OFFSET(D49:Q49,0,SearchDay-1,,15-SearchDay)&lt;=ValidC)),"ДД/ММ")),"")</f>
        <v/>
      </c>
      <c r="W49" t="str">
        <f t="shared" si="0"/>
        <v>КолединоКороба</v>
      </c>
      <c r="Y49" s="10"/>
      <c r="Z49" s="10"/>
      <c r="AA49" s="10"/>
      <c r="AB49" s="10"/>
    </row>
    <row r="50" spans="2:28" x14ac:dyDescent="0.45">
      <c r="B50" s="12" t="s">
        <v>18</v>
      </c>
      <c r="C50" s="12" t="s">
        <v>110</v>
      </c>
      <c r="D50" s="35">
        <v>-1</v>
      </c>
      <c r="E50" s="35">
        <v>-1</v>
      </c>
      <c r="F50" s="35">
        <v>-1</v>
      </c>
      <c r="G50" s="35">
        <v>-1</v>
      </c>
      <c r="H50" s="35">
        <v>-1</v>
      </c>
      <c r="I50" s="35">
        <v>-1</v>
      </c>
      <c r="J50" s="35">
        <v>-1</v>
      </c>
      <c r="K50" s="35">
        <v>-1</v>
      </c>
      <c r="L50" s="35">
        <v>-1</v>
      </c>
      <c r="M50" s="35">
        <v>-1</v>
      </c>
      <c r="N50" s="35">
        <v>-1</v>
      </c>
      <c r="O50" s="35">
        <v>-1</v>
      </c>
      <c r="P50" s="35">
        <v>-1</v>
      </c>
      <c r="Q50" s="35">
        <v>-1</v>
      </c>
      <c r="S50" s="5" t="str">
        <f>IF(_xlfn.XLOOKUP(StatTbl[[#This Row],[Join]],TargetSlots[Join],TargetSlots[Join],"Не найдено")&lt;&gt;"Не найдено","Ищем","Не ищем")</f>
        <v>Не ищем</v>
      </c>
      <c r="T50" s="4" t="str">
        <f ca="1">IF(COUNTIFS(OFFSET(D50:$Q50,0,SearchDay-1,,15-SearchDay),"&lt;="&amp; ValidC,OFFSET(D50:$Q50,0,SearchDay-1,,15-SearchDay),"&gt;-1")&gt;0,"Есть слот!","Ничего")</f>
        <v>Ничего</v>
      </c>
      <c r="U50">
        <f ca="1">IF(S50="Ищем",IF(StatTbl[[#This Row],[Доступность]]="Есть слот!",COUNTIFS(OFFSET(D50:$Q50,0,SearchDay-1),"&lt;="&amp; ValidC,OFFSET(D50:$Q50,0,SearchDay-1),"&gt;-1"),0),0)</f>
        <v>0</v>
      </c>
      <c r="V50" t="str" cm="1">
        <f t="array" aca="1" ref="V50" ca="1">IF(StatTbl[[#This Row],[Кол-во слотов]]&gt;0, B50&amp;" "&amp;C50&amp;" "&amp;_xlfn.TEXTJOIN(", ",FALSE,TEXT(_xlfn._xlws.FILTER(OFFSET($D$8:$Q$8,0,SearchDay-1,,15-SearchDay),(OFFSET(D50:Q50,0,SearchDay-1,,15-SearchDay)&gt;-1)*(OFFSET(D50:Q50,0,SearchDay-1,,15-SearchDay)&lt;=ValidC)),"ДД/ММ")),"")</f>
        <v/>
      </c>
      <c r="W50" t="str">
        <f t="shared" si="0"/>
        <v>КолединоМонопаллеты</v>
      </c>
      <c r="Y50" s="10"/>
      <c r="Z50" s="10"/>
      <c r="AA50" s="10"/>
      <c r="AB50" s="10"/>
    </row>
    <row r="51" spans="2:28" x14ac:dyDescent="0.45">
      <c r="B51" s="12" t="s">
        <v>18</v>
      </c>
      <c r="C51" s="12" t="s">
        <v>6</v>
      </c>
      <c r="D51" s="35">
        <v>20</v>
      </c>
      <c r="E51" s="35">
        <v>20</v>
      </c>
      <c r="F51" s="35">
        <v>20</v>
      </c>
      <c r="G51" s="35">
        <v>20</v>
      </c>
      <c r="H51" s="35">
        <v>20</v>
      </c>
      <c r="I51" s="35">
        <v>20</v>
      </c>
      <c r="J51" s="35">
        <v>20</v>
      </c>
      <c r="K51" s="35">
        <v>20</v>
      </c>
      <c r="L51" s="35">
        <v>20</v>
      </c>
      <c r="M51" s="35">
        <v>20</v>
      </c>
      <c r="N51" s="35">
        <v>20</v>
      </c>
      <c r="O51" s="35">
        <v>-1</v>
      </c>
      <c r="P51" s="35">
        <v>-1</v>
      </c>
      <c r="Q51" s="35">
        <v>-1</v>
      </c>
      <c r="S51" s="5" t="str">
        <f>IF(_xlfn.XLOOKUP(StatTbl[[#This Row],[Join]],TargetSlots[Join],TargetSlots[Join],"Не найдено")&lt;&gt;"Не найдено","Ищем","Не ищем")</f>
        <v>Не ищем</v>
      </c>
      <c r="T51" s="4" t="str">
        <f ca="1">IF(COUNTIFS(OFFSET(D51:$Q51,0,SearchDay-1,,15-SearchDay),"&lt;="&amp; ValidC,OFFSET(D51:$Q51,0,SearchDay-1,,15-SearchDay),"&gt;-1")&gt;0,"Есть слот!","Ничего")</f>
        <v>Ничего</v>
      </c>
      <c r="U51">
        <f ca="1">IF(S51="Ищем",IF(StatTbl[[#This Row],[Доступность]]="Есть слот!",COUNTIFS(OFFSET(D51:$Q51,0,SearchDay-1),"&lt;="&amp; ValidC,OFFSET(D51:$Q51,0,SearchDay-1),"&gt;-1"),0),0)</f>
        <v>0</v>
      </c>
      <c r="V51" t="str" cm="1">
        <f t="array" aca="1" ref="V51" ca="1">IF(StatTbl[[#This Row],[Кол-во слотов]]&gt;0, B51&amp;" "&amp;C51&amp;" "&amp;_xlfn.TEXTJOIN(", ",FALSE,TEXT(_xlfn._xlws.FILTER(OFFSET($D$8:$Q$8,0,SearchDay-1,,15-SearchDay),(OFFSET(D51:Q51,0,SearchDay-1,,15-SearchDay)&gt;-1)*(OFFSET(D51:Q51,0,SearchDay-1,,15-SearchDay)&lt;=ValidC)),"ДД/ММ")),"")</f>
        <v/>
      </c>
      <c r="W51" t="str">
        <f t="shared" si="0"/>
        <v>КолединоСуперсейф</v>
      </c>
      <c r="Y51" s="10"/>
      <c r="Z51" s="10"/>
      <c r="AA51" s="10"/>
      <c r="AB51" s="10"/>
    </row>
    <row r="52" spans="2:28" x14ac:dyDescent="0.45">
      <c r="B52" s="12" t="s">
        <v>18</v>
      </c>
      <c r="C52" s="12" t="s">
        <v>111</v>
      </c>
      <c r="D52" s="35">
        <v>20</v>
      </c>
      <c r="E52" s="35">
        <v>20</v>
      </c>
      <c r="F52" s="35">
        <v>20</v>
      </c>
      <c r="G52" s="35">
        <v>20</v>
      </c>
      <c r="H52" s="35">
        <v>20</v>
      </c>
      <c r="I52" s="35">
        <v>20</v>
      </c>
      <c r="J52" s="35">
        <v>20</v>
      </c>
      <c r="K52" s="35">
        <v>20</v>
      </c>
      <c r="L52" s="35">
        <v>20</v>
      </c>
      <c r="M52" s="35">
        <v>20</v>
      </c>
      <c r="N52" s="35">
        <v>20</v>
      </c>
      <c r="O52" s="35">
        <v>-1</v>
      </c>
      <c r="P52" s="35">
        <v>-1</v>
      </c>
      <c r="Q52" s="35">
        <v>-1</v>
      </c>
      <c r="S52" s="5" t="str">
        <f>IF(_xlfn.XLOOKUP(StatTbl[[#This Row],[Join]],TargetSlots[Join],TargetSlots[Join],"Не найдено")&lt;&gt;"Не найдено","Ищем","Не ищем")</f>
        <v>Не ищем</v>
      </c>
      <c r="T52" s="4" t="str">
        <f ca="1">IF(COUNTIFS(OFFSET(D52:$Q52,0,SearchDay-1,,15-SearchDay),"&lt;="&amp; ValidC,OFFSET(D52:$Q52,0,SearchDay-1,,15-SearchDay),"&gt;-1")&gt;0,"Есть слот!","Ничего")</f>
        <v>Ничего</v>
      </c>
      <c r="U52">
        <f ca="1">IF(S52="Ищем",IF(StatTbl[[#This Row],[Доступность]]="Есть слот!",COUNTIFS(OFFSET(D52:$Q52,0,SearchDay-1),"&lt;="&amp; ValidC,OFFSET(D52:$Q52,0,SearchDay-1),"&gt;-1"),0),0)</f>
        <v>0</v>
      </c>
      <c r="V52" t="str" cm="1">
        <f t="array" aca="1" ref="V52" ca="1">IF(StatTbl[[#This Row],[Кол-во слотов]]&gt;0, B52&amp;" "&amp;C52&amp;" "&amp;_xlfn.TEXTJOIN(", ",FALSE,TEXT(_xlfn._xlws.FILTER(OFFSET($D$8:$Q$8,0,SearchDay-1,,15-SearchDay),(OFFSET(D52:Q52,0,SearchDay-1,,15-SearchDay)&gt;-1)*(OFFSET(D52:Q52,0,SearchDay-1,,15-SearchDay)&lt;=ValidC)),"ДД/ММ")),"")</f>
        <v/>
      </c>
      <c r="W52" t="str">
        <f t="shared" si="0"/>
        <v>КолединоQR-поставка</v>
      </c>
      <c r="Y52" s="10"/>
      <c r="Z52" s="10"/>
      <c r="AA52" s="10"/>
      <c r="AB52" s="10"/>
    </row>
    <row r="53" spans="2:28" x14ac:dyDescent="0.45">
      <c r="B53" s="12" t="s">
        <v>19</v>
      </c>
      <c r="C53" s="12" t="s">
        <v>109</v>
      </c>
      <c r="D53" s="35">
        <v>-1</v>
      </c>
      <c r="E53" s="35">
        <v>-1</v>
      </c>
      <c r="F53" s="35">
        <v>-1</v>
      </c>
      <c r="G53" s="35">
        <v>-1</v>
      </c>
      <c r="H53" s="35">
        <v>-1</v>
      </c>
      <c r="I53" s="35">
        <v>-1</v>
      </c>
      <c r="J53" s="35">
        <v>-1</v>
      </c>
      <c r="K53" s="35">
        <v>-1</v>
      </c>
      <c r="L53" s="35">
        <v>-1</v>
      </c>
      <c r="M53" s="35">
        <v>-1</v>
      </c>
      <c r="N53" s="35">
        <v>-1</v>
      </c>
      <c r="O53" s="35">
        <v>-1</v>
      </c>
      <c r="P53" s="35">
        <v>-1</v>
      </c>
      <c r="Q53" s="35">
        <v>-1</v>
      </c>
      <c r="S53" s="5" t="str">
        <f>IF(_xlfn.XLOOKUP(StatTbl[[#This Row],[Join]],TargetSlots[Join],TargetSlots[Join],"Не найдено")&lt;&gt;"Не найдено","Ищем","Не ищем")</f>
        <v>Не ищем</v>
      </c>
      <c r="T53" s="4" t="str">
        <f ca="1">IF(COUNTIFS(OFFSET(D53:$Q53,0,SearchDay-1,,15-SearchDay),"&lt;="&amp; ValidC,OFFSET(D53:$Q53,0,SearchDay-1,,15-SearchDay),"&gt;-1")&gt;0,"Есть слот!","Ничего")</f>
        <v>Ничего</v>
      </c>
      <c r="U53">
        <f ca="1">IF(S53="Ищем",IF(StatTbl[[#This Row],[Доступность]]="Есть слот!",COUNTIFS(OFFSET(D53:$Q53,0,SearchDay-1),"&lt;="&amp; ValidC,OFFSET(D53:$Q53,0,SearchDay-1),"&gt;-1"),0),0)</f>
        <v>0</v>
      </c>
      <c r="V53" t="str" cm="1">
        <f t="array" aca="1" ref="V53" ca="1">IF(StatTbl[[#This Row],[Кол-во слотов]]&gt;0, B53&amp;" "&amp;C53&amp;" "&amp;_xlfn.TEXTJOIN(", ",FALSE,TEXT(_xlfn._xlws.FILTER(OFFSET($D$8:$Q$8,0,SearchDay-1,,15-SearchDay),(OFFSET(D53:Q53,0,SearchDay-1,,15-SearchDay)&gt;-1)*(OFFSET(D53:Q53,0,SearchDay-1,,15-SearchDay)&lt;=ValidC)),"ДД/ММ")),"")</f>
        <v/>
      </c>
      <c r="W53" t="str">
        <f t="shared" si="0"/>
        <v>КотовскКороба</v>
      </c>
      <c r="Y53" s="10"/>
      <c r="Z53" s="10"/>
      <c r="AA53" s="10"/>
      <c r="AB53" s="10"/>
    </row>
    <row r="54" spans="2:28" x14ac:dyDescent="0.45">
      <c r="B54" s="12" t="s">
        <v>19</v>
      </c>
      <c r="C54" s="12" t="s">
        <v>110</v>
      </c>
      <c r="D54" s="35">
        <v>-1</v>
      </c>
      <c r="E54" s="35">
        <v>-1</v>
      </c>
      <c r="F54" s="35">
        <v>-1</v>
      </c>
      <c r="G54" s="35">
        <v>-1</v>
      </c>
      <c r="H54" s="35">
        <v>-1</v>
      </c>
      <c r="I54" s="35">
        <v>-1</v>
      </c>
      <c r="J54" s="35">
        <v>-1</v>
      </c>
      <c r="K54" s="35">
        <v>-1</v>
      </c>
      <c r="L54" s="35">
        <v>-1</v>
      </c>
      <c r="M54" s="35">
        <v>-1</v>
      </c>
      <c r="N54" s="35">
        <v>-1</v>
      </c>
      <c r="O54" s="35">
        <v>-1</v>
      </c>
      <c r="P54" s="35">
        <v>-1</v>
      </c>
      <c r="Q54" s="35">
        <v>-1</v>
      </c>
      <c r="S54" s="5" t="str">
        <f>IF(_xlfn.XLOOKUP(StatTbl[[#This Row],[Join]],TargetSlots[Join],TargetSlots[Join],"Не найдено")&lt;&gt;"Не найдено","Ищем","Не ищем")</f>
        <v>Не ищем</v>
      </c>
      <c r="T54" s="4" t="str">
        <f ca="1">IF(COUNTIFS(OFFSET(D54:$Q54,0,SearchDay-1,,15-SearchDay),"&lt;="&amp; ValidC,OFFSET(D54:$Q54,0,SearchDay-1,,15-SearchDay),"&gt;-1")&gt;0,"Есть слот!","Ничего")</f>
        <v>Ничего</v>
      </c>
      <c r="U54">
        <f ca="1">IF(S54="Ищем",IF(StatTbl[[#This Row],[Доступность]]="Есть слот!",COUNTIFS(OFFSET(D54:$Q54,0,SearchDay-1),"&lt;="&amp; ValidC,OFFSET(D54:$Q54,0,SearchDay-1),"&gt;-1"),0),0)</f>
        <v>0</v>
      </c>
      <c r="V54" t="str" cm="1">
        <f t="array" aca="1" ref="V54" ca="1">IF(StatTbl[[#This Row],[Кол-во слотов]]&gt;0, B54&amp;" "&amp;C54&amp;" "&amp;_xlfn.TEXTJOIN(", ",FALSE,TEXT(_xlfn._xlws.FILTER(OFFSET($D$8:$Q$8,0,SearchDay-1,,15-SearchDay),(OFFSET(D54:Q54,0,SearchDay-1,,15-SearchDay)&gt;-1)*(OFFSET(D54:Q54,0,SearchDay-1,,15-SearchDay)&lt;=ValidC)),"ДД/ММ")),"")</f>
        <v/>
      </c>
      <c r="W54" t="str">
        <f t="shared" si="0"/>
        <v>КотовскМонопаллеты</v>
      </c>
      <c r="Y54" s="10"/>
      <c r="Z54" s="10"/>
      <c r="AA54" s="10"/>
      <c r="AB54" s="10"/>
    </row>
    <row r="55" spans="2:28" x14ac:dyDescent="0.45">
      <c r="B55" s="12" t="s">
        <v>19</v>
      </c>
      <c r="C55" s="12" t="s">
        <v>6</v>
      </c>
      <c r="D55" s="35">
        <v>-1</v>
      </c>
      <c r="E55" s="35">
        <v>-1</v>
      </c>
      <c r="F55" s="35">
        <v>-1</v>
      </c>
      <c r="G55" s="35">
        <v>-1</v>
      </c>
      <c r="H55" s="35">
        <v>-1</v>
      </c>
      <c r="I55" s="35">
        <v>-1</v>
      </c>
      <c r="J55" s="35">
        <v>-1</v>
      </c>
      <c r="K55" s="35">
        <v>-1</v>
      </c>
      <c r="L55" s="35">
        <v>-1</v>
      </c>
      <c r="M55" s="35">
        <v>-1</v>
      </c>
      <c r="N55" s="35">
        <v>-1</v>
      </c>
      <c r="O55" s="35">
        <v>-1</v>
      </c>
      <c r="P55" s="35">
        <v>-1</v>
      </c>
      <c r="Q55" s="35">
        <v>-1</v>
      </c>
      <c r="S55" s="5" t="str">
        <f>IF(_xlfn.XLOOKUP(StatTbl[[#This Row],[Join]],TargetSlots[Join],TargetSlots[Join],"Не найдено")&lt;&gt;"Не найдено","Ищем","Не ищем")</f>
        <v>Не ищем</v>
      </c>
      <c r="T55" s="4" t="str">
        <f ca="1">IF(COUNTIFS(OFFSET(D55:$Q55,0,SearchDay-1,,15-SearchDay),"&lt;="&amp; ValidC,OFFSET(D55:$Q55,0,SearchDay-1,,15-SearchDay),"&gt;-1")&gt;0,"Есть слот!","Ничего")</f>
        <v>Ничего</v>
      </c>
      <c r="U55">
        <f ca="1">IF(S55="Ищем",IF(StatTbl[[#This Row],[Доступность]]="Есть слот!",COUNTIFS(OFFSET(D55:$Q55,0,SearchDay-1),"&lt;="&amp; ValidC,OFFSET(D55:$Q55,0,SearchDay-1),"&gt;-1"),0),0)</f>
        <v>0</v>
      </c>
      <c r="V55" t="str" cm="1">
        <f t="array" aca="1" ref="V55" ca="1">IF(StatTbl[[#This Row],[Кол-во слотов]]&gt;0, B55&amp;" "&amp;C55&amp;" "&amp;_xlfn.TEXTJOIN(", ",FALSE,TEXT(_xlfn._xlws.FILTER(OFFSET($D$8:$Q$8,0,SearchDay-1,,15-SearchDay),(OFFSET(D55:Q55,0,SearchDay-1,,15-SearchDay)&gt;-1)*(OFFSET(D55:Q55,0,SearchDay-1,,15-SearchDay)&lt;=ValidC)),"ДД/ММ")),"")</f>
        <v/>
      </c>
      <c r="W55" t="str">
        <f t="shared" si="0"/>
        <v>КотовскСуперсейф</v>
      </c>
      <c r="Y55" s="10"/>
      <c r="Z55" s="10"/>
      <c r="AA55" s="10"/>
      <c r="AB55" s="10"/>
    </row>
    <row r="56" spans="2:28" x14ac:dyDescent="0.45">
      <c r="B56" s="12" t="s">
        <v>19</v>
      </c>
      <c r="C56" s="12" t="s">
        <v>111</v>
      </c>
      <c r="D56" s="35">
        <v>-1</v>
      </c>
      <c r="E56" s="35">
        <v>-1</v>
      </c>
      <c r="F56" s="35">
        <v>-1</v>
      </c>
      <c r="G56" s="35">
        <v>-1</v>
      </c>
      <c r="H56" s="35">
        <v>-1</v>
      </c>
      <c r="I56" s="35">
        <v>-1</v>
      </c>
      <c r="J56" s="35">
        <v>-1</v>
      </c>
      <c r="K56" s="35">
        <v>-1</v>
      </c>
      <c r="L56" s="35">
        <v>-1</v>
      </c>
      <c r="M56" s="35">
        <v>-1</v>
      </c>
      <c r="N56" s="35">
        <v>-1</v>
      </c>
      <c r="O56" s="35">
        <v>-1</v>
      </c>
      <c r="P56" s="35">
        <v>-1</v>
      </c>
      <c r="Q56" s="35">
        <v>-1</v>
      </c>
      <c r="S56" s="5" t="str">
        <f>IF(_xlfn.XLOOKUP(StatTbl[[#This Row],[Join]],TargetSlots[Join],TargetSlots[Join],"Не найдено")&lt;&gt;"Не найдено","Ищем","Не ищем")</f>
        <v>Не ищем</v>
      </c>
      <c r="T56" s="4" t="str">
        <f ca="1">IF(COUNTIFS(OFFSET(D56:$Q56,0,SearchDay-1,,15-SearchDay),"&lt;="&amp; ValidC,OFFSET(D56:$Q56,0,SearchDay-1,,15-SearchDay),"&gt;-1")&gt;0,"Есть слот!","Ничего")</f>
        <v>Ничего</v>
      </c>
      <c r="U56">
        <f ca="1">IF(S56="Ищем",IF(StatTbl[[#This Row],[Доступность]]="Есть слот!",COUNTIFS(OFFSET(D56:$Q56,0,SearchDay-1),"&lt;="&amp; ValidC,OFFSET(D56:$Q56,0,SearchDay-1),"&gt;-1"),0),0)</f>
        <v>0</v>
      </c>
      <c r="V56" t="str" cm="1">
        <f t="array" aca="1" ref="V56" ca="1">IF(StatTbl[[#This Row],[Кол-во слотов]]&gt;0, B56&amp;" "&amp;C56&amp;" "&amp;_xlfn.TEXTJOIN(", ",FALSE,TEXT(_xlfn._xlws.FILTER(OFFSET($D$8:$Q$8,0,SearchDay-1,,15-SearchDay),(OFFSET(D56:Q56,0,SearchDay-1,,15-SearchDay)&gt;-1)*(OFFSET(D56:Q56,0,SearchDay-1,,15-SearchDay)&lt;=ValidC)),"ДД/ММ")),"")</f>
        <v/>
      </c>
      <c r="W56" t="str">
        <f t="shared" si="0"/>
        <v>КотовскQR-поставка</v>
      </c>
      <c r="Y56" s="10"/>
      <c r="Z56" s="10"/>
      <c r="AA56" s="10"/>
      <c r="AB56" s="10"/>
    </row>
    <row r="57" spans="2:28" x14ac:dyDescent="0.45">
      <c r="B57" s="12" t="s">
        <v>20</v>
      </c>
      <c r="C57" s="12" t="s">
        <v>109</v>
      </c>
      <c r="D57" s="35">
        <v>-1</v>
      </c>
      <c r="E57" s="35">
        <v>-1</v>
      </c>
      <c r="F57" s="35">
        <v>-1</v>
      </c>
      <c r="G57" s="35">
        <v>-1</v>
      </c>
      <c r="H57" s="35">
        <v>-1</v>
      </c>
      <c r="I57" s="35">
        <v>-1</v>
      </c>
      <c r="J57" s="35">
        <v>-1</v>
      </c>
      <c r="K57" s="35">
        <v>-1</v>
      </c>
      <c r="L57" s="35">
        <v>-1</v>
      </c>
      <c r="M57" s="35">
        <v>-1</v>
      </c>
      <c r="N57" s="35">
        <v>-1</v>
      </c>
      <c r="O57" s="35">
        <v>-1</v>
      </c>
      <c r="P57" s="35">
        <v>-1</v>
      </c>
      <c r="Q57" s="35">
        <v>-1</v>
      </c>
      <c r="S57" s="5" t="str">
        <f>IF(_xlfn.XLOOKUP(StatTbl[[#This Row],[Join]],TargetSlots[Join],TargetSlots[Join],"Не найдено")&lt;&gt;"Не найдено","Ищем","Не ищем")</f>
        <v>Не ищем</v>
      </c>
      <c r="T57" s="4" t="str">
        <f ca="1">IF(COUNTIFS(OFFSET(D57:$Q57,0,SearchDay-1,,15-SearchDay),"&lt;="&amp; ValidC,OFFSET(D57:$Q57,0,SearchDay-1,,15-SearchDay),"&gt;-1")&gt;0,"Есть слот!","Ничего")</f>
        <v>Ничего</v>
      </c>
      <c r="U57">
        <f ca="1">IF(S57="Ищем",IF(StatTbl[[#This Row],[Доступность]]="Есть слот!",COUNTIFS(OFFSET(D57:$Q57,0,SearchDay-1),"&lt;="&amp; ValidC,OFFSET(D57:$Q57,0,SearchDay-1),"&gt;-1"),0),0)</f>
        <v>0</v>
      </c>
      <c r="V57" t="str" cm="1">
        <f t="array" aca="1" ref="V57" ca="1">IF(StatTbl[[#This Row],[Кол-во слотов]]&gt;0, B57&amp;" "&amp;C57&amp;" "&amp;_xlfn.TEXTJOIN(", ",FALSE,TEXT(_xlfn._xlws.FILTER(OFFSET($D$8:$Q$8,0,SearchDay-1,,15-SearchDay),(OFFSET(D57:Q57,0,SearchDay-1,,15-SearchDay)&gt;-1)*(OFFSET(D57:Q57,0,SearchDay-1,,15-SearchDay)&lt;=ValidC)),"ДД/ММ")),"")</f>
        <v/>
      </c>
      <c r="W57" t="str">
        <f t="shared" si="0"/>
        <v>Краснодар (Тихорецкая)Короба</v>
      </c>
      <c r="Y57" s="10"/>
      <c r="Z57" s="10"/>
      <c r="AA57" s="10"/>
      <c r="AB57" s="10"/>
    </row>
    <row r="58" spans="2:28" x14ac:dyDescent="0.45">
      <c r="B58" s="12" t="s">
        <v>20</v>
      </c>
      <c r="C58" s="12" t="s">
        <v>110</v>
      </c>
      <c r="D58" s="35">
        <v>-1</v>
      </c>
      <c r="E58" s="35">
        <v>-1</v>
      </c>
      <c r="F58" s="35">
        <v>-1</v>
      </c>
      <c r="G58" s="35">
        <v>-1</v>
      </c>
      <c r="H58" s="35">
        <v>-1</v>
      </c>
      <c r="I58" s="35">
        <v>-1</v>
      </c>
      <c r="J58" s="35">
        <v>-1</v>
      </c>
      <c r="K58" s="35">
        <v>-1</v>
      </c>
      <c r="L58" s="35">
        <v>-1</v>
      </c>
      <c r="M58" s="35">
        <v>-1</v>
      </c>
      <c r="N58" s="35">
        <v>-1</v>
      </c>
      <c r="O58" s="35">
        <v>-1</v>
      </c>
      <c r="P58" s="35">
        <v>-1</v>
      </c>
      <c r="Q58" s="35">
        <v>-1</v>
      </c>
      <c r="S58" s="5" t="str">
        <f>IF(_xlfn.XLOOKUP(StatTbl[[#This Row],[Join]],TargetSlots[Join],TargetSlots[Join],"Не найдено")&lt;&gt;"Не найдено","Ищем","Не ищем")</f>
        <v>Не ищем</v>
      </c>
      <c r="T58" s="4" t="str">
        <f ca="1">IF(COUNTIFS(OFFSET(D58:$Q58,0,SearchDay-1,,15-SearchDay),"&lt;="&amp; ValidC,OFFSET(D58:$Q58,0,SearchDay-1,,15-SearchDay),"&gt;-1")&gt;0,"Есть слот!","Ничего")</f>
        <v>Ничего</v>
      </c>
      <c r="U58">
        <f ca="1">IF(S58="Ищем",IF(StatTbl[[#This Row],[Доступность]]="Есть слот!",COUNTIFS(OFFSET(D58:$Q58,0,SearchDay-1),"&lt;="&amp; ValidC,OFFSET(D58:$Q58,0,SearchDay-1),"&gt;-1"),0),0)</f>
        <v>0</v>
      </c>
      <c r="V58" t="str" cm="1">
        <f t="array" aca="1" ref="V58" ca="1">IF(StatTbl[[#This Row],[Кол-во слотов]]&gt;0, B58&amp;" "&amp;C58&amp;" "&amp;_xlfn.TEXTJOIN(", ",FALSE,TEXT(_xlfn._xlws.FILTER(OFFSET($D$8:$Q$8,0,SearchDay-1,,15-SearchDay),(OFFSET(D58:Q58,0,SearchDay-1,,15-SearchDay)&gt;-1)*(OFFSET(D58:Q58,0,SearchDay-1,,15-SearchDay)&lt;=ValidC)),"ДД/ММ")),"")</f>
        <v/>
      </c>
      <c r="W58" t="str">
        <f t="shared" si="0"/>
        <v>Краснодар (Тихорецкая)Монопаллеты</v>
      </c>
      <c r="Y58" s="10"/>
      <c r="Z58" s="10"/>
      <c r="AA58" s="10"/>
      <c r="AB58" s="10"/>
    </row>
    <row r="59" spans="2:28" x14ac:dyDescent="0.45">
      <c r="B59" s="12" t="s">
        <v>20</v>
      </c>
      <c r="C59" s="12" t="s">
        <v>6</v>
      </c>
      <c r="D59" s="35">
        <v>-1</v>
      </c>
      <c r="E59" s="35">
        <v>-1</v>
      </c>
      <c r="F59" s="35">
        <v>-1</v>
      </c>
      <c r="G59" s="35">
        <v>-1</v>
      </c>
      <c r="H59" s="35">
        <v>-1</v>
      </c>
      <c r="I59" s="35">
        <v>-1</v>
      </c>
      <c r="J59" s="35">
        <v>-1</v>
      </c>
      <c r="K59" s="35">
        <v>-1</v>
      </c>
      <c r="L59" s="35">
        <v>-1</v>
      </c>
      <c r="M59" s="35">
        <v>-1</v>
      </c>
      <c r="N59" s="35">
        <v>-1</v>
      </c>
      <c r="O59" s="35">
        <v>-1</v>
      </c>
      <c r="P59" s="35">
        <v>-1</v>
      </c>
      <c r="Q59" s="35">
        <v>-1</v>
      </c>
      <c r="S59" s="5" t="str">
        <f>IF(_xlfn.XLOOKUP(StatTbl[[#This Row],[Join]],TargetSlots[Join],TargetSlots[Join],"Не найдено")&lt;&gt;"Не найдено","Ищем","Не ищем")</f>
        <v>Не ищем</v>
      </c>
      <c r="T59" s="4" t="str">
        <f ca="1">IF(COUNTIFS(OFFSET(D59:$Q59,0,SearchDay-1,,15-SearchDay),"&lt;="&amp; ValidC,OFFSET(D59:$Q59,0,SearchDay-1,,15-SearchDay),"&gt;-1")&gt;0,"Есть слот!","Ничего")</f>
        <v>Ничего</v>
      </c>
      <c r="U59">
        <f ca="1">IF(S59="Ищем",IF(StatTbl[[#This Row],[Доступность]]="Есть слот!",COUNTIFS(OFFSET(D59:$Q59,0,SearchDay-1),"&lt;="&amp; ValidC,OFFSET(D59:$Q59,0,SearchDay-1),"&gt;-1"),0),0)</f>
        <v>0</v>
      </c>
      <c r="V59" t="str" cm="1">
        <f t="array" aca="1" ref="V59" ca="1">IF(StatTbl[[#This Row],[Кол-во слотов]]&gt;0, B59&amp;" "&amp;C59&amp;" "&amp;_xlfn.TEXTJOIN(", ",FALSE,TEXT(_xlfn._xlws.FILTER(OFFSET($D$8:$Q$8,0,SearchDay-1,,15-SearchDay),(OFFSET(D59:Q59,0,SearchDay-1,,15-SearchDay)&gt;-1)*(OFFSET(D59:Q59,0,SearchDay-1,,15-SearchDay)&lt;=ValidC)),"ДД/ММ")),"")</f>
        <v/>
      </c>
      <c r="W59" t="str">
        <f t="shared" si="0"/>
        <v>Краснодар (Тихорецкая)Суперсейф</v>
      </c>
      <c r="Y59" s="10"/>
      <c r="Z59" s="10"/>
      <c r="AA59" s="10"/>
      <c r="AB59" s="10"/>
    </row>
    <row r="60" spans="2:28" x14ac:dyDescent="0.45">
      <c r="B60" s="12" t="s">
        <v>20</v>
      </c>
      <c r="C60" s="12" t="s">
        <v>111</v>
      </c>
      <c r="D60" s="35">
        <v>-1</v>
      </c>
      <c r="E60" s="35">
        <v>-1</v>
      </c>
      <c r="F60" s="35">
        <v>-1</v>
      </c>
      <c r="G60" s="35">
        <v>-1</v>
      </c>
      <c r="H60" s="35">
        <v>-1</v>
      </c>
      <c r="I60" s="35">
        <v>-1</v>
      </c>
      <c r="J60" s="35">
        <v>-1</v>
      </c>
      <c r="K60" s="35">
        <v>-1</v>
      </c>
      <c r="L60" s="35">
        <v>-1</v>
      </c>
      <c r="M60" s="35">
        <v>-1</v>
      </c>
      <c r="N60" s="35">
        <v>-1</v>
      </c>
      <c r="O60" s="35">
        <v>-1</v>
      </c>
      <c r="P60" s="35">
        <v>-1</v>
      </c>
      <c r="Q60" s="35">
        <v>-1</v>
      </c>
      <c r="S60" s="5" t="str">
        <f>IF(_xlfn.XLOOKUP(StatTbl[[#This Row],[Join]],TargetSlots[Join],TargetSlots[Join],"Не найдено")&lt;&gt;"Не найдено","Ищем","Не ищем")</f>
        <v>Не ищем</v>
      </c>
      <c r="T60" s="4" t="str">
        <f ca="1">IF(COUNTIFS(OFFSET(D60:$Q60,0,SearchDay-1,,15-SearchDay),"&lt;="&amp; ValidC,OFFSET(D60:$Q60,0,SearchDay-1,,15-SearchDay),"&gt;-1")&gt;0,"Есть слот!","Ничего")</f>
        <v>Ничего</v>
      </c>
      <c r="U60">
        <f ca="1">IF(S60="Ищем",IF(StatTbl[[#This Row],[Доступность]]="Есть слот!",COUNTIFS(OFFSET(D60:$Q60,0,SearchDay-1),"&lt;="&amp; ValidC,OFFSET(D60:$Q60,0,SearchDay-1),"&gt;-1"),0),0)</f>
        <v>0</v>
      </c>
      <c r="V60" t="str" cm="1">
        <f t="array" aca="1" ref="V60" ca="1">IF(StatTbl[[#This Row],[Кол-во слотов]]&gt;0, B60&amp;" "&amp;C60&amp;" "&amp;_xlfn.TEXTJOIN(", ",FALSE,TEXT(_xlfn._xlws.FILTER(OFFSET($D$8:$Q$8,0,SearchDay-1,,15-SearchDay),(OFFSET(D60:Q60,0,SearchDay-1,,15-SearchDay)&gt;-1)*(OFFSET(D60:Q60,0,SearchDay-1,,15-SearchDay)&lt;=ValidC)),"ДД/ММ")),"")</f>
        <v/>
      </c>
      <c r="W60" t="str">
        <f t="shared" si="0"/>
        <v>Краснодар (Тихорецкая)QR-поставка</v>
      </c>
      <c r="Y60" s="10"/>
      <c r="Z60" s="10"/>
      <c r="AA60" s="10"/>
      <c r="AB60" s="10"/>
    </row>
    <row r="61" spans="2:28" x14ac:dyDescent="0.45">
      <c r="B61" s="12" t="s">
        <v>180</v>
      </c>
      <c r="C61" s="12" t="s">
        <v>109</v>
      </c>
      <c r="D61" s="35">
        <v>-1</v>
      </c>
      <c r="E61" s="35">
        <v>-1</v>
      </c>
      <c r="F61" s="35">
        <v>-1</v>
      </c>
      <c r="G61" s="35">
        <v>-1</v>
      </c>
      <c r="H61" s="35">
        <v>-1</v>
      </c>
      <c r="I61" s="35">
        <v>-1</v>
      </c>
      <c r="J61" s="35">
        <v>-1</v>
      </c>
      <c r="K61" s="35">
        <v>-1</v>
      </c>
      <c r="L61" s="35">
        <v>-1</v>
      </c>
      <c r="M61" s="35">
        <v>-1</v>
      </c>
      <c r="N61" s="35">
        <v>-1</v>
      </c>
      <c r="O61" s="35">
        <v>-1</v>
      </c>
      <c r="P61" s="35">
        <v>-1</v>
      </c>
      <c r="Q61" s="35">
        <v>-1</v>
      </c>
      <c r="S61" s="5" t="str">
        <f>IF(_xlfn.XLOOKUP(StatTbl[[#This Row],[Join]],TargetSlots[Join],TargetSlots[Join],"Не найдено")&lt;&gt;"Не найдено","Ищем","Не ищем")</f>
        <v>Не ищем</v>
      </c>
      <c r="T61" s="4" t="str">
        <f ca="1">IF(COUNTIFS(OFFSET(D61:$Q61,0,SearchDay-1,,15-SearchDay),"&lt;="&amp; ValidC,OFFSET(D61:$Q61,0,SearchDay-1,,15-SearchDay),"&gt;-1")&gt;0,"Есть слот!","Ничего")</f>
        <v>Ничего</v>
      </c>
      <c r="U61">
        <f ca="1">IF(S61="Ищем",IF(StatTbl[[#This Row],[Доступность]]="Есть слот!",COUNTIFS(OFFSET(D61:$Q61,0,SearchDay-1),"&lt;="&amp; ValidC,OFFSET(D61:$Q61,0,SearchDay-1),"&gt;-1"),0),0)</f>
        <v>0</v>
      </c>
      <c r="V61" t="str" cm="1">
        <f t="array" aca="1" ref="V61" ca="1">IF(StatTbl[[#This Row],[Кол-во слотов]]&gt;0, B61&amp;" "&amp;C61&amp;" "&amp;_xlfn.TEXTJOIN(", ",FALSE,TEXT(_xlfn._xlws.FILTER(OFFSET($D$8:$Q$8,0,SearchDay-1,,15-SearchDay),(OFFSET(D61:Q61,0,SearchDay-1,,15-SearchDay)&gt;-1)*(OFFSET(D61:Q61,0,SearchDay-1,,15-SearchDay)&lt;=ValidC)),"ДД/ММ")),"")</f>
        <v/>
      </c>
      <c r="W61" t="str">
        <f t="shared" si="0"/>
        <v>МинскКороба</v>
      </c>
      <c r="Y61" s="10"/>
      <c r="Z61" s="10"/>
      <c r="AA61" s="10"/>
      <c r="AB61" s="10"/>
    </row>
    <row r="62" spans="2:28" x14ac:dyDescent="0.45">
      <c r="B62" s="12" t="s">
        <v>180</v>
      </c>
      <c r="C62" s="12" t="s">
        <v>110</v>
      </c>
      <c r="D62" s="35">
        <v>-1</v>
      </c>
      <c r="E62" s="35">
        <v>-1</v>
      </c>
      <c r="F62" s="35">
        <v>-1</v>
      </c>
      <c r="G62" s="35">
        <v>-1</v>
      </c>
      <c r="H62" s="35">
        <v>-1</v>
      </c>
      <c r="I62" s="35">
        <v>-1</v>
      </c>
      <c r="J62" s="35">
        <v>-1</v>
      </c>
      <c r="K62" s="35">
        <v>-1</v>
      </c>
      <c r="L62" s="35">
        <v>-1</v>
      </c>
      <c r="M62" s="35">
        <v>-1</v>
      </c>
      <c r="N62" s="35">
        <v>-1</v>
      </c>
      <c r="O62" s="35">
        <v>-1</v>
      </c>
      <c r="P62" s="35">
        <v>-1</v>
      </c>
      <c r="Q62" s="35">
        <v>-1</v>
      </c>
      <c r="S62" s="5" t="str">
        <f>IF(_xlfn.XLOOKUP(StatTbl[[#This Row],[Join]],TargetSlots[Join],TargetSlots[Join],"Не найдено")&lt;&gt;"Не найдено","Ищем","Не ищем")</f>
        <v>Не ищем</v>
      </c>
      <c r="T62" s="4" t="str">
        <f ca="1">IF(COUNTIFS(OFFSET(D62:$Q62,0,SearchDay-1,,15-SearchDay),"&lt;="&amp; ValidC,OFFSET(D62:$Q62,0,SearchDay-1,,15-SearchDay),"&gt;-1")&gt;0,"Есть слот!","Ничего")</f>
        <v>Ничего</v>
      </c>
      <c r="U62">
        <f ca="1">IF(S62="Ищем",IF(StatTbl[[#This Row],[Доступность]]="Есть слот!",COUNTIFS(OFFSET(D62:$Q62,0,SearchDay-1),"&lt;="&amp; ValidC,OFFSET(D62:$Q62,0,SearchDay-1),"&gt;-1"),0),0)</f>
        <v>0</v>
      </c>
      <c r="V62" t="str" cm="1">
        <f t="array" aca="1" ref="V62" ca="1">IF(StatTbl[[#This Row],[Кол-во слотов]]&gt;0, B62&amp;" "&amp;C62&amp;" "&amp;_xlfn.TEXTJOIN(", ",FALSE,TEXT(_xlfn._xlws.FILTER(OFFSET($D$8:$Q$8,0,SearchDay-1,,15-SearchDay),(OFFSET(D62:Q62,0,SearchDay-1,,15-SearchDay)&gt;-1)*(OFFSET(D62:Q62,0,SearchDay-1,,15-SearchDay)&lt;=ValidC)),"ДД/ММ")),"")</f>
        <v/>
      </c>
      <c r="W62" t="str">
        <f t="shared" si="0"/>
        <v>МинскМонопаллеты</v>
      </c>
      <c r="Y62" s="10"/>
      <c r="Z62" s="10"/>
      <c r="AA62" s="10"/>
      <c r="AB62" s="10"/>
    </row>
    <row r="63" spans="2:28" x14ac:dyDescent="0.45">
      <c r="B63" s="12" t="s">
        <v>180</v>
      </c>
      <c r="C63" s="12" t="s">
        <v>6</v>
      </c>
      <c r="D63" s="35">
        <v>-1</v>
      </c>
      <c r="E63" s="35">
        <v>-1</v>
      </c>
      <c r="F63" s="35">
        <v>-1</v>
      </c>
      <c r="G63" s="35">
        <v>-1</v>
      </c>
      <c r="H63" s="35">
        <v>-1</v>
      </c>
      <c r="I63" s="35">
        <v>-1</v>
      </c>
      <c r="J63" s="35">
        <v>-1</v>
      </c>
      <c r="K63" s="35">
        <v>-1</v>
      </c>
      <c r="L63" s="35">
        <v>-1</v>
      </c>
      <c r="M63" s="35">
        <v>-1</v>
      </c>
      <c r="N63" s="35">
        <v>-1</v>
      </c>
      <c r="O63" s="35">
        <v>-1</v>
      </c>
      <c r="P63" s="35">
        <v>-1</v>
      </c>
      <c r="Q63" s="35">
        <v>-1</v>
      </c>
      <c r="S63" s="5" t="str">
        <f>IF(_xlfn.XLOOKUP(StatTbl[[#This Row],[Join]],TargetSlots[Join],TargetSlots[Join],"Не найдено")&lt;&gt;"Не найдено","Ищем","Не ищем")</f>
        <v>Не ищем</v>
      </c>
      <c r="T63" s="4" t="str">
        <f ca="1">IF(COUNTIFS(OFFSET(D63:$Q63,0,SearchDay-1,,15-SearchDay),"&lt;="&amp; ValidC,OFFSET(D63:$Q63,0,SearchDay-1,,15-SearchDay),"&gt;-1")&gt;0,"Есть слот!","Ничего")</f>
        <v>Ничего</v>
      </c>
      <c r="U63">
        <f ca="1">IF(S63="Ищем",IF(StatTbl[[#This Row],[Доступность]]="Есть слот!",COUNTIFS(OFFSET(D63:$Q63,0,SearchDay-1),"&lt;="&amp; ValidC,OFFSET(D63:$Q63,0,SearchDay-1),"&gt;-1"),0),0)</f>
        <v>0</v>
      </c>
      <c r="V63" t="str" cm="1">
        <f t="array" aca="1" ref="V63" ca="1">IF(StatTbl[[#This Row],[Кол-во слотов]]&gt;0, B63&amp;" "&amp;C63&amp;" "&amp;_xlfn.TEXTJOIN(", ",FALSE,TEXT(_xlfn._xlws.FILTER(OFFSET($D$8:$Q$8,0,SearchDay-1,,15-SearchDay),(OFFSET(D63:Q63,0,SearchDay-1,,15-SearchDay)&gt;-1)*(OFFSET(D63:Q63,0,SearchDay-1,,15-SearchDay)&lt;=ValidC)),"ДД/ММ")),"")</f>
        <v/>
      </c>
      <c r="W63" t="str">
        <f t="shared" si="0"/>
        <v>МинскСуперсейф</v>
      </c>
      <c r="Y63" s="10"/>
      <c r="Z63" s="10"/>
      <c r="AA63" s="10"/>
      <c r="AB63" s="10"/>
    </row>
    <row r="64" spans="2:28" x14ac:dyDescent="0.45">
      <c r="B64" s="12" t="s">
        <v>180</v>
      </c>
      <c r="C64" s="12" t="s">
        <v>111</v>
      </c>
      <c r="D64" s="35">
        <v>-1</v>
      </c>
      <c r="E64" s="35">
        <v>-1</v>
      </c>
      <c r="F64" s="35">
        <v>-1</v>
      </c>
      <c r="G64" s="35">
        <v>-1</v>
      </c>
      <c r="H64" s="35">
        <v>-1</v>
      </c>
      <c r="I64" s="35">
        <v>-1</v>
      </c>
      <c r="J64" s="35">
        <v>-1</v>
      </c>
      <c r="K64" s="35">
        <v>-1</v>
      </c>
      <c r="L64" s="35">
        <v>-1</v>
      </c>
      <c r="M64" s="35">
        <v>-1</v>
      </c>
      <c r="N64" s="35">
        <v>-1</v>
      </c>
      <c r="O64" s="35">
        <v>-1</v>
      </c>
      <c r="P64" s="35">
        <v>-1</v>
      </c>
      <c r="Q64" s="35">
        <v>-1</v>
      </c>
      <c r="S64" s="5" t="str">
        <f>IF(_xlfn.XLOOKUP(StatTbl[[#This Row],[Join]],TargetSlots[Join],TargetSlots[Join],"Не найдено")&lt;&gt;"Не найдено","Ищем","Не ищем")</f>
        <v>Не ищем</v>
      </c>
      <c r="T64" s="4" t="str">
        <f ca="1">IF(COUNTIFS(OFFSET(D64:$Q64,0,SearchDay-1,,15-SearchDay),"&lt;="&amp; ValidC,OFFSET(D64:$Q64,0,SearchDay-1,,15-SearchDay),"&gt;-1")&gt;0,"Есть слот!","Ничего")</f>
        <v>Ничего</v>
      </c>
      <c r="U64">
        <f ca="1">IF(S64="Ищем",IF(StatTbl[[#This Row],[Доступность]]="Есть слот!",COUNTIFS(OFFSET(D64:$Q64,0,SearchDay-1),"&lt;="&amp; ValidC,OFFSET(D64:$Q64,0,SearchDay-1),"&gt;-1"),0),0)</f>
        <v>0</v>
      </c>
      <c r="V64" t="str" cm="1">
        <f t="array" aca="1" ref="V64" ca="1">IF(StatTbl[[#This Row],[Кол-во слотов]]&gt;0, B64&amp;" "&amp;C64&amp;" "&amp;_xlfn.TEXTJOIN(", ",FALSE,TEXT(_xlfn._xlws.FILTER(OFFSET($D$8:$Q$8,0,SearchDay-1,,15-SearchDay),(OFFSET(D64:Q64,0,SearchDay-1,,15-SearchDay)&gt;-1)*(OFFSET(D64:Q64,0,SearchDay-1,,15-SearchDay)&lt;=ValidC)),"ДД/ММ")),"")</f>
        <v/>
      </c>
      <c r="W64" t="str">
        <f t="shared" si="0"/>
        <v>МинскQR-поставка</v>
      </c>
      <c r="Y64" s="10"/>
      <c r="Z64" s="10"/>
      <c r="AA64" s="10"/>
      <c r="AB64" s="10"/>
    </row>
    <row r="65" spans="2:28" x14ac:dyDescent="0.45">
      <c r="B65" s="12" t="s">
        <v>21</v>
      </c>
      <c r="C65" s="12" t="s">
        <v>109</v>
      </c>
      <c r="D65" s="35">
        <v>-1</v>
      </c>
      <c r="E65" s="35">
        <v>-1</v>
      </c>
      <c r="F65" s="35">
        <v>-1</v>
      </c>
      <c r="G65" s="35">
        <v>-1</v>
      </c>
      <c r="H65" s="35">
        <v>-1</v>
      </c>
      <c r="I65" s="35">
        <v>-1</v>
      </c>
      <c r="J65" s="35">
        <v>-1</v>
      </c>
      <c r="K65" s="35">
        <v>-1</v>
      </c>
      <c r="L65" s="35">
        <v>-1</v>
      </c>
      <c r="M65" s="35">
        <v>-1</v>
      </c>
      <c r="N65" s="35">
        <v>-1</v>
      </c>
      <c r="O65" s="35">
        <v>-1</v>
      </c>
      <c r="P65" s="35">
        <v>-1</v>
      </c>
      <c r="Q65" s="35">
        <v>-1</v>
      </c>
      <c r="S65" s="5" t="str">
        <f>IF(_xlfn.XLOOKUP(StatTbl[[#This Row],[Join]],TargetSlots[Join],TargetSlots[Join],"Не найдено")&lt;&gt;"Не найдено","Ищем","Не ищем")</f>
        <v>Не ищем</v>
      </c>
      <c r="T65" s="4" t="str">
        <f ca="1">IF(COUNTIFS(OFFSET(D65:$Q65,0,SearchDay-1,,15-SearchDay),"&lt;="&amp; ValidC,OFFSET(D65:$Q65,0,SearchDay-1,,15-SearchDay),"&gt;-1")&gt;0,"Есть слот!","Ничего")</f>
        <v>Ничего</v>
      </c>
      <c r="U65">
        <f ca="1">IF(S65="Ищем",IF(StatTbl[[#This Row],[Доступность]]="Есть слот!",COUNTIFS(OFFSET(D65:$Q65,0,SearchDay-1),"&lt;="&amp; ValidC,OFFSET(D65:$Q65,0,SearchDay-1),"&gt;-1"),0),0)</f>
        <v>0</v>
      </c>
      <c r="V65" t="str" cm="1">
        <f t="array" aca="1" ref="V65" ca="1">IF(StatTbl[[#This Row],[Кол-во слотов]]&gt;0, B65&amp;" "&amp;C65&amp;" "&amp;_xlfn.TEXTJOIN(", ",FALSE,TEXT(_xlfn._xlws.FILTER(OFFSET($D$8:$Q$8,0,SearchDay-1,,15-SearchDay),(OFFSET(D65:Q65,0,SearchDay-1,,15-SearchDay)&gt;-1)*(OFFSET(D65:Q65,0,SearchDay-1,,15-SearchDay)&lt;=ValidC)),"ДД/ММ")),"")</f>
        <v/>
      </c>
      <c r="W65" t="str">
        <f t="shared" si="0"/>
        <v>НевинномысскКороба</v>
      </c>
      <c r="Y65" s="10"/>
      <c r="Z65" s="10"/>
      <c r="AA65" s="10"/>
      <c r="AB65" s="10"/>
    </row>
    <row r="66" spans="2:28" x14ac:dyDescent="0.45">
      <c r="B66" s="12" t="s">
        <v>21</v>
      </c>
      <c r="C66" s="12" t="s">
        <v>110</v>
      </c>
      <c r="D66" s="35">
        <v>-1</v>
      </c>
      <c r="E66" s="35">
        <v>-1</v>
      </c>
      <c r="F66" s="35">
        <v>-1</v>
      </c>
      <c r="G66" s="35">
        <v>-1</v>
      </c>
      <c r="H66" s="35">
        <v>-1</v>
      </c>
      <c r="I66" s="35">
        <v>-1</v>
      </c>
      <c r="J66" s="35">
        <v>-1</v>
      </c>
      <c r="K66" s="35">
        <v>-1</v>
      </c>
      <c r="L66" s="35">
        <v>-1</v>
      </c>
      <c r="M66" s="35">
        <v>-1</v>
      </c>
      <c r="N66" s="35">
        <v>-1</v>
      </c>
      <c r="O66" s="35">
        <v>-1</v>
      </c>
      <c r="P66" s="35">
        <v>-1</v>
      </c>
      <c r="Q66" s="35">
        <v>-1</v>
      </c>
      <c r="S66" s="5" t="str">
        <f>IF(_xlfn.XLOOKUP(StatTbl[[#This Row],[Join]],TargetSlots[Join],TargetSlots[Join],"Не найдено")&lt;&gt;"Не найдено","Ищем","Не ищем")</f>
        <v>Не ищем</v>
      </c>
      <c r="T66" s="4" t="str">
        <f ca="1">IF(COUNTIFS(OFFSET(D66:$Q66,0,SearchDay-1,,15-SearchDay),"&lt;="&amp; ValidC,OFFSET(D66:$Q66,0,SearchDay-1,,15-SearchDay),"&gt;-1")&gt;0,"Есть слот!","Ничего")</f>
        <v>Ничего</v>
      </c>
      <c r="U66">
        <f ca="1">IF(S66="Ищем",IF(StatTbl[[#This Row],[Доступность]]="Есть слот!",COUNTIFS(OFFSET(D66:$Q66,0,SearchDay-1),"&lt;="&amp; ValidC,OFFSET(D66:$Q66,0,SearchDay-1),"&gt;-1"),0),0)</f>
        <v>0</v>
      </c>
      <c r="V66" t="str" cm="1">
        <f t="array" aca="1" ref="V66" ca="1">IF(StatTbl[[#This Row],[Кол-во слотов]]&gt;0, B66&amp;" "&amp;C66&amp;" "&amp;_xlfn.TEXTJOIN(", ",FALSE,TEXT(_xlfn._xlws.FILTER(OFFSET($D$8:$Q$8,0,SearchDay-1,,15-SearchDay),(OFFSET(D66:Q66,0,SearchDay-1,,15-SearchDay)&gt;-1)*(OFFSET(D66:Q66,0,SearchDay-1,,15-SearchDay)&lt;=ValidC)),"ДД/ММ")),"")</f>
        <v/>
      </c>
      <c r="W66" t="str">
        <f t="shared" si="0"/>
        <v>НевинномысскМонопаллеты</v>
      </c>
      <c r="Y66" s="10"/>
      <c r="Z66" s="10"/>
      <c r="AA66" s="10"/>
      <c r="AB66" s="10"/>
    </row>
    <row r="67" spans="2:28" x14ac:dyDescent="0.45">
      <c r="B67" s="12" t="s">
        <v>21</v>
      </c>
      <c r="C67" s="12" t="s">
        <v>6</v>
      </c>
      <c r="D67" s="35">
        <v>-1</v>
      </c>
      <c r="E67" s="35">
        <v>-1</v>
      </c>
      <c r="F67" s="35">
        <v>-1</v>
      </c>
      <c r="G67" s="35">
        <v>-1</v>
      </c>
      <c r="H67" s="35">
        <v>-1</v>
      </c>
      <c r="I67" s="35">
        <v>-1</v>
      </c>
      <c r="J67" s="35">
        <v>-1</v>
      </c>
      <c r="K67" s="35">
        <v>-1</v>
      </c>
      <c r="L67" s="35">
        <v>-1</v>
      </c>
      <c r="M67" s="35">
        <v>-1</v>
      </c>
      <c r="N67" s="35">
        <v>-1</v>
      </c>
      <c r="O67" s="35">
        <v>-1</v>
      </c>
      <c r="P67" s="35">
        <v>-1</v>
      </c>
      <c r="Q67" s="35">
        <v>-1</v>
      </c>
      <c r="S67" s="5" t="str">
        <f>IF(_xlfn.XLOOKUP(StatTbl[[#This Row],[Join]],TargetSlots[Join],TargetSlots[Join],"Не найдено")&lt;&gt;"Не найдено","Ищем","Не ищем")</f>
        <v>Не ищем</v>
      </c>
      <c r="T67" s="4" t="str">
        <f ca="1">IF(COUNTIFS(OFFSET(D67:$Q67,0,SearchDay-1,,15-SearchDay),"&lt;="&amp; ValidC,OFFSET(D67:$Q67,0,SearchDay-1,,15-SearchDay),"&gt;-1")&gt;0,"Есть слот!","Ничего")</f>
        <v>Ничего</v>
      </c>
      <c r="U67">
        <f ca="1">IF(S67="Ищем",IF(StatTbl[[#This Row],[Доступность]]="Есть слот!",COUNTIFS(OFFSET(D67:$Q67,0,SearchDay-1),"&lt;="&amp; ValidC,OFFSET(D67:$Q67,0,SearchDay-1),"&gt;-1"),0),0)</f>
        <v>0</v>
      </c>
      <c r="V67" t="str" cm="1">
        <f t="array" aca="1" ref="V67" ca="1">IF(StatTbl[[#This Row],[Кол-во слотов]]&gt;0, B67&amp;" "&amp;C67&amp;" "&amp;_xlfn.TEXTJOIN(", ",FALSE,TEXT(_xlfn._xlws.FILTER(OFFSET($D$8:$Q$8,0,SearchDay-1,,15-SearchDay),(OFFSET(D67:Q67,0,SearchDay-1,,15-SearchDay)&gt;-1)*(OFFSET(D67:Q67,0,SearchDay-1,,15-SearchDay)&lt;=ValidC)),"ДД/ММ")),"")</f>
        <v/>
      </c>
      <c r="W67" t="str">
        <f t="shared" si="0"/>
        <v>НевинномысскСуперсейф</v>
      </c>
      <c r="Y67" s="10"/>
      <c r="Z67" s="10"/>
      <c r="AA67" s="10"/>
      <c r="AB67" s="10"/>
    </row>
    <row r="68" spans="2:28" x14ac:dyDescent="0.45">
      <c r="B68" s="12" t="s">
        <v>21</v>
      </c>
      <c r="C68" s="12" t="s">
        <v>111</v>
      </c>
      <c r="D68" s="35">
        <v>-1</v>
      </c>
      <c r="E68" s="35">
        <v>-1</v>
      </c>
      <c r="F68" s="35">
        <v>-1</v>
      </c>
      <c r="G68" s="35">
        <v>-1</v>
      </c>
      <c r="H68" s="35">
        <v>-1</v>
      </c>
      <c r="I68" s="35">
        <v>-1</v>
      </c>
      <c r="J68" s="35">
        <v>-1</v>
      </c>
      <c r="K68" s="35">
        <v>-1</v>
      </c>
      <c r="L68" s="35">
        <v>-1</v>
      </c>
      <c r="M68" s="35">
        <v>-1</v>
      </c>
      <c r="N68" s="35">
        <v>-1</v>
      </c>
      <c r="O68" s="35">
        <v>-1</v>
      </c>
      <c r="P68" s="35">
        <v>-1</v>
      </c>
      <c r="Q68" s="35">
        <v>-1</v>
      </c>
      <c r="S68" s="5" t="str">
        <f>IF(_xlfn.XLOOKUP(StatTbl[[#This Row],[Join]],TargetSlots[Join],TargetSlots[Join],"Не найдено")&lt;&gt;"Не найдено","Ищем","Не ищем")</f>
        <v>Не ищем</v>
      </c>
      <c r="T68" s="4" t="str">
        <f ca="1">IF(COUNTIFS(OFFSET(D68:$Q68,0,SearchDay-1,,15-SearchDay),"&lt;="&amp; ValidC,OFFSET(D68:$Q68,0,SearchDay-1,,15-SearchDay),"&gt;-1")&gt;0,"Есть слот!","Ничего")</f>
        <v>Ничего</v>
      </c>
      <c r="U68">
        <f ca="1">IF(S68="Ищем",IF(StatTbl[[#This Row],[Доступность]]="Есть слот!",COUNTIFS(OFFSET(D68:$Q68,0,SearchDay-1),"&lt;="&amp; ValidC,OFFSET(D68:$Q68,0,SearchDay-1),"&gt;-1"),0),0)</f>
        <v>0</v>
      </c>
      <c r="V68" t="str" cm="1">
        <f t="array" aca="1" ref="V68" ca="1">IF(StatTbl[[#This Row],[Кол-во слотов]]&gt;0, B68&amp;" "&amp;C68&amp;" "&amp;_xlfn.TEXTJOIN(", ",FALSE,TEXT(_xlfn._xlws.FILTER(OFFSET($D$8:$Q$8,0,SearchDay-1,,15-SearchDay),(OFFSET(D68:Q68,0,SearchDay-1,,15-SearchDay)&gt;-1)*(OFFSET(D68:Q68,0,SearchDay-1,,15-SearchDay)&lt;=ValidC)),"ДД/ММ")),"")</f>
        <v/>
      </c>
      <c r="W68" t="str">
        <f t="shared" si="0"/>
        <v>НевинномысскQR-поставка</v>
      </c>
      <c r="Y68" s="10"/>
      <c r="Z68" s="10"/>
      <c r="AA68" s="10"/>
      <c r="AB68" s="10"/>
    </row>
    <row r="69" spans="2:28" x14ac:dyDescent="0.45">
      <c r="B69" s="12" t="s">
        <v>22</v>
      </c>
      <c r="C69" s="12" t="s">
        <v>109</v>
      </c>
      <c r="D69" s="35">
        <v>-1</v>
      </c>
      <c r="E69" s="35">
        <v>-1</v>
      </c>
      <c r="F69" s="35">
        <v>-1</v>
      </c>
      <c r="G69" s="35">
        <v>-1</v>
      </c>
      <c r="H69" s="35">
        <v>-1</v>
      </c>
      <c r="I69" s="35">
        <v>-1</v>
      </c>
      <c r="J69" s="35">
        <v>-1</v>
      </c>
      <c r="K69" s="35">
        <v>-1</v>
      </c>
      <c r="L69" s="35">
        <v>-1</v>
      </c>
      <c r="M69" s="35">
        <v>-1</v>
      </c>
      <c r="N69" s="35">
        <v>-1</v>
      </c>
      <c r="O69" s="35">
        <v>-1</v>
      </c>
      <c r="P69" s="35">
        <v>-1</v>
      </c>
      <c r="Q69" s="35">
        <v>-1</v>
      </c>
      <c r="S69" s="5" t="str">
        <f>IF(_xlfn.XLOOKUP(StatTbl[[#This Row],[Join]],TargetSlots[Join],TargetSlots[Join],"Не найдено")&lt;&gt;"Не найдено","Ищем","Не ищем")</f>
        <v>Не ищем</v>
      </c>
      <c r="T69" s="4" t="str">
        <f ca="1">IF(COUNTIFS(OFFSET(D69:$Q69,0,SearchDay-1,,15-SearchDay),"&lt;="&amp; ValidC,OFFSET(D69:$Q69,0,SearchDay-1,,15-SearchDay),"&gt;-1")&gt;0,"Есть слот!","Ничего")</f>
        <v>Ничего</v>
      </c>
      <c r="U69">
        <f ca="1">IF(S69="Ищем",IF(StatTbl[[#This Row],[Доступность]]="Есть слот!",COUNTIFS(OFFSET(D69:$Q69,0,SearchDay-1),"&lt;="&amp; ValidC,OFFSET(D69:$Q69,0,SearchDay-1),"&gt;-1"),0),0)</f>
        <v>0</v>
      </c>
      <c r="V69" t="str" cm="1">
        <f t="array" aca="1" ref="V69" ca="1">IF(StatTbl[[#This Row],[Кол-во слотов]]&gt;0, B69&amp;" "&amp;C69&amp;" "&amp;_xlfn.TEXTJOIN(", ",FALSE,TEXT(_xlfn._xlws.FILTER(OFFSET($D$8:$Q$8,0,SearchDay-1,,15-SearchDay),(OFFSET(D69:Q69,0,SearchDay-1,,15-SearchDay)&gt;-1)*(OFFSET(D69:Q69,0,SearchDay-1,,15-SearchDay)&lt;=ValidC)),"ДД/ММ")),"")</f>
        <v/>
      </c>
      <c r="W69" t="str">
        <f t="shared" si="0"/>
        <v>НовосемейкиноКороба</v>
      </c>
      <c r="Y69" s="10"/>
      <c r="Z69" s="10"/>
      <c r="AA69" s="10"/>
      <c r="AB69" s="10"/>
    </row>
    <row r="70" spans="2:28" x14ac:dyDescent="0.45">
      <c r="B70" s="12" t="s">
        <v>22</v>
      </c>
      <c r="C70" s="12" t="s">
        <v>110</v>
      </c>
      <c r="D70" s="35">
        <v>-1</v>
      </c>
      <c r="E70" s="35">
        <v>-1</v>
      </c>
      <c r="F70" s="35">
        <v>-1</v>
      </c>
      <c r="G70" s="35">
        <v>-1</v>
      </c>
      <c r="H70" s="35">
        <v>-1</v>
      </c>
      <c r="I70" s="35">
        <v>-1</v>
      </c>
      <c r="J70" s="35">
        <v>-1</v>
      </c>
      <c r="K70" s="35">
        <v>-1</v>
      </c>
      <c r="L70" s="35">
        <v>-1</v>
      </c>
      <c r="M70" s="35">
        <v>-1</v>
      </c>
      <c r="N70" s="35">
        <v>-1</v>
      </c>
      <c r="O70" s="35">
        <v>-1</v>
      </c>
      <c r="P70" s="35">
        <v>-1</v>
      </c>
      <c r="Q70" s="35">
        <v>-1</v>
      </c>
      <c r="S70" s="5" t="str">
        <f>IF(_xlfn.XLOOKUP(StatTbl[[#This Row],[Join]],TargetSlots[Join],TargetSlots[Join],"Не найдено")&lt;&gt;"Не найдено","Ищем","Не ищем")</f>
        <v>Не ищем</v>
      </c>
      <c r="T70" s="4" t="str">
        <f ca="1">IF(COUNTIFS(OFFSET(D70:$Q70,0,SearchDay-1,,15-SearchDay),"&lt;="&amp; ValidC,OFFSET(D70:$Q70,0,SearchDay-1,,15-SearchDay),"&gt;-1")&gt;0,"Есть слот!","Ничего")</f>
        <v>Ничего</v>
      </c>
      <c r="U70">
        <f ca="1">IF(S70="Ищем",IF(StatTbl[[#This Row],[Доступность]]="Есть слот!",COUNTIFS(OFFSET(D70:$Q70,0,SearchDay-1),"&lt;="&amp; ValidC,OFFSET(D70:$Q70,0,SearchDay-1),"&gt;-1"),0),0)</f>
        <v>0</v>
      </c>
      <c r="V70" t="str" cm="1">
        <f t="array" aca="1" ref="V70" ca="1">IF(StatTbl[[#This Row],[Кол-во слотов]]&gt;0, B70&amp;" "&amp;C70&amp;" "&amp;_xlfn.TEXTJOIN(", ",FALSE,TEXT(_xlfn._xlws.FILTER(OFFSET($D$8:$Q$8,0,SearchDay-1,,15-SearchDay),(OFFSET(D70:Q70,0,SearchDay-1,,15-SearchDay)&gt;-1)*(OFFSET(D70:Q70,0,SearchDay-1,,15-SearchDay)&lt;=ValidC)),"ДД/ММ")),"")</f>
        <v/>
      </c>
      <c r="W70" t="str">
        <f t="shared" si="0"/>
        <v>НовосемейкиноМонопаллеты</v>
      </c>
      <c r="Y70" s="10"/>
      <c r="Z70" s="10"/>
      <c r="AA70" s="10"/>
      <c r="AB70" s="10"/>
    </row>
    <row r="71" spans="2:28" x14ac:dyDescent="0.45">
      <c r="B71" s="12" t="s">
        <v>22</v>
      </c>
      <c r="C71" s="12" t="s">
        <v>6</v>
      </c>
      <c r="D71" s="35">
        <v>-1</v>
      </c>
      <c r="E71" s="35">
        <v>-1</v>
      </c>
      <c r="F71" s="35">
        <v>-1</v>
      </c>
      <c r="G71" s="35">
        <v>-1</v>
      </c>
      <c r="H71" s="35">
        <v>-1</v>
      </c>
      <c r="I71" s="35">
        <v>-1</v>
      </c>
      <c r="J71" s="35">
        <v>-1</v>
      </c>
      <c r="K71" s="35">
        <v>-1</v>
      </c>
      <c r="L71" s="35">
        <v>-1</v>
      </c>
      <c r="M71" s="35">
        <v>-1</v>
      </c>
      <c r="N71" s="35">
        <v>-1</v>
      </c>
      <c r="O71" s="35">
        <v>-1</v>
      </c>
      <c r="P71" s="35">
        <v>-1</v>
      </c>
      <c r="Q71" s="35">
        <v>-1</v>
      </c>
      <c r="S71" s="5" t="str">
        <f>IF(_xlfn.XLOOKUP(StatTbl[[#This Row],[Join]],TargetSlots[Join],TargetSlots[Join],"Не найдено")&lt;&gt;"Не найдено","Ищем","Не ищем")</f>
        <v>Не ищем</v>
      </c>
      <c r="T71" s="4" t="str">
        <f ca="1">IF(COUNTIFS(OFFSET(D71:$Q71,0,SearchDay-1,,15-SearchDay),"&lt;="&amp; ValidC,OFFSET(D71:$Q71,0,SearchDay-1,,15-SearchDay),"&gt;-1")&gt;0,"Есть слот!","Ничего")</f>
        <v>Ничего</v>
      </c>
      <c r="U71">
        <f ca="1">IF(S71="Ищем",IF(StatTbl[[#This Row],[Доступность]]="Есть слот!",COUNTIFS(OFFSET(D71:$Q71,0,SearchDay-1),"&lt;="&amp; ValidC,OFFSET(D71:$Q71,0,SearchDay-1),"&gt;-1"),0),0)</f>
        <v>0</v>
      </c>
      <c r="V71" t="str" cm="1">
        <f t="array" aca="1" ref="V71" ca="1">IF(StatTbl[[#This Row],[Кол-во слотов]]&gt;0, B71&amp;" "&amp;C71&amp;" "&amp;_xlfn.TEXTJOIN(", ",FALSE,TEXT(_xlfn._xlws.FILTER(OFFSET($D$8:$Q$8,0,SearchDay-1,,15-SearchDay),(OFFSET(D71:Q71,0,SearchDay-1,,15-SearchDay)&gt;-1)*(OFFSET(D71:Q71,0,SearchDay-1,,15-SearchDay)&lt;=ValidC)),"ДД/ММ")),"")</f>
        <v/>
      </c>
      <c r="W71" t="str">
        <f t="shared" si="0"/>
        <v>НовосемейкиноСуперсейф</v>
      </c>
      <c r="Y71" s="10"/>
      <c r="Z71" s="10"/>
      <c r="AA71" s="10"/>
      <c r="AB71" s="10"/>
    </row>
    <row r="72" spans="2:28" x14ac:dyDescent="0.45">
      <c r="B72" s="12" t="s">
        <v>22</v>
      </c>
      <c r="C72" s="12" t="s">
        <v>111</v>
      </c>
      <c r="D72" s="35">
        <v>-1</v>
      </c>
      <c r="E72" s="35">
        <v>-1</v>
      </c>
      <c r="F72" s="35">
        <v>-1</v>
      </c>
      <c r="G72" s="35">
        <v>-1</v>
      </c>
      <c r="H72" s="35">
        <v>-1</v>
      </c>
      <c r="I72" s="35">
        <v>-1</v>
      </c>
      <c r="J72" s="35">
        <v>-1</v>
      </c>
      <c r="K72" s="35">
        <v>-1</v>
      </c>
      <c r="L72" s="35">
        <v>-1</v>
      </c>
      <c r="M72" s="35">
        <v>-1</v>
      </c>
      <c r="N72" s="35">
        <v>-1</v>
      </c>
      <c r="O72" s="35">
        <v>-1</v>
      </c>
      <c r="P72" s="35">
        <v>-1</v>
      </c>
      <c r="Q72" s="35">
        <v>-1</v>
      </c>
      <c r="S72" s="5" t="str">
        <f>IF(_xlfn.XLOOKUP(StatTbl[[#This Row],[Join]],TargetSlots[Join],TargetSlots[Join],"Не найдено")&lt;&gt;"Не найдено","Ищем","Не ищем")</f>
        <v>Не ищем</v>
      </c>
      <c r="T72" s="4" t="str">
        <f ca="1">IF(COUNTIFS(OFFSET(D72:$Q72,0,SearchDay-1,,15-SearchDay),"&lt;="&amp; ValidC,OFFSET(D72:$Q72,0,SearchDay-1,,15-SearchDay),"&gt;-1")&gt;0,"Есть слот!","Ничего")</f>
        <v>Ничего</v>
      </c>
      <c r="U72">
        <f ca="1">IF(S72="Ищем",IF(StatTbl[[#This Row],[Доступность]]="Есть слот!",COUNTIFS(OFFSET(D72:$Q72,0,SearchDay-1),"&lt;="&amp; ValidC,OFFSET(D72:$Q72,0,SearchDay-1),"&gt;-1"),0),0)</f>
        <v>0</v>
      </c>
      <c r="V72" t="str" cm="1">
        <f t="array" aca="1" ref="V72" ca="1">IF(StatTbl[[#This Row],[Кол-во слотов]]&gt;0, B72&amp;" "&amp;C72&amp;" "&amp;_xlfn.TEXTJOIN(", ",FALSE,TEXT(_xlfn._xlws.FILTER(OFFSET($D$8:$Q$8,0,SearchDay-1,,15-SearchDay),(OFFSET(D72:Q72,0,SearchDay-1,,15-SearchDay)&gt;-1)*(OFFSET(D72:Q72,0,SearchDay-1,,15-SearchDay)&lt;=ValidC)),"ДД/ММ")),"")</f>
        <v/>
      </c>
      <c r="W72" t="str">
        <f t="shared" si="0"/>
        <v>НовосемейкиноQR-поставка</v>
      </c>
      <c r="Y72" s="10"/>
      <c r="Z72" s="10"/>
      <c r="AA72" s="10"/>
      <c r="AB72" s="10"/>
    </row>
    <row r="73" spans="2:28" x14ac:dyDescent="0.45">
      <c r="B73" s="12" t="s">
        <v>23</v>
      </c>
      <c r="C73" s="12" t="s">
        <v>109</v>
      </c>
      <c r="D73" s="35">
        <v>-1</v>
      </c>
      <c r="E73" s="35">
        <v>-1</v>
      </c>
      <c r="F73" s="35">
        <v>-1</v>
      </c>
      <c r="G73" s="35">
        <v>-1</v>
      </c>
      <c r="H73" s="35">
        <v>-1</v>
      </c>
      <c r="I73" s="35">
        <v>-1</v>
      </c>
      <c r="J73" s="35">
        <v>-1</v>
      </c>
      <c r="K73" s="35">
        <v>-1</v>
      </c>
      <c r="L73" s="35">
        <v>-1</v>
      </c>
      <c r="M73" s="35">
        <v>-1</v>
      </c>
      <c r="N73" s="35">
        <v>-1</v>
      </c>
      <c r="O73" s="35">
        <v>-1</v>
      </c>
      <c r="P73" s="35">
        <v>-1</v>
      </c>
      <c r="Q73" s="35">
        <v>-1</v>
      </c>
      <c r="S73" s="5" t="str">
        <f>IF(_xlfn.XLOOKUP(StatTbl[[#This Row],[Join]],TargetSlots[Join],TargetSlots[Join],"Не найдено")&lt;&gt;"Не найдено","Ищем","Не ищем")</f>
        <v>Не ищем</v>
      </c>
      <c r="T73" s="4" t="str">
        <f ca="1">IF(COUNTIFS(OFFSET(D73:$Q73,0,SearchDay-1,,15-SearchDay),"&lt;="&amp; ValidC,OFFSET(D73:$Q73,0,SearchDay-1,,15-SearchDay),"&gt;-1")&gt;0,"Есть слот!","Ничего")</f>
        <v>Ничего</v>
      </c>
      <c r="U73">
        <f ca="1">IF(S73="Ищем",IF(StatTbl[[#This Row],[Доступность]]="Есть слот!",COUNTIFS(OFFSET(D73:$Q73,0,SearchDay-1),"&lt;="&amp; ValidC,OFFSET(D73:$Q73,0,SearchDay-1),"&gt;-1"),0),0)</f>
        <v>0</v>
      </c>
      <c r="V73" t="str" cm="1">
        <f t="array" aca="1" ref="V73" ca="1">IF(StatTbl[[#This Row],[Кол-во слотов]]&gt;0, B73&amp;" "&amp;C73&amp;" "&amp;_xlfn.TEXTJOIN(", ",FALSE,TEXT(_xlfn._xlws.FILTER(OFFSET($D$8:$Q$8,0,SearchDay-1,,15-SearchDay),(OFFSET(D73:Q73,0,SearchDay-1,,15-SearchDay)&gt;-1)*(OFFSET(D73:Q73,0,SearchDay-1,,15-SearchDay)&lt;=ValidC)),"ДД/ММ")),"")</f>
        <v/>
      </c>
      <c r="W73" t="str">
        <f t="shared" ref="W73:W136" si="1">B73&amp;C73</f>
        <v>НовосибирскКороба</v>
      </c>
      <c r="Y73" s="10"/>
      <c r="Z73" s="10"/>
      <c r="AA73" s="10"/>
      <c r="AB73" s="10"/>
    </row>
    <row r="74" spans="2:28" x14ac:dyDescent="0.45">
      <c r="B74" s="12" t="s">
        <v>23</v>
      </c>
      <c r="C74" s="12" t="s">
        <v>110</v>
      </c>
      <c r="D74" s="35">
        <v>-1</v>
      </c>
      <c r="E74" s="35">
        <v>-1</v>
      </c>
      <c r="F74" s="35">
        <v>-1</v>
      </c>
      <c r="G74" s="35">
        <v>-1</v>
      </c>
      <c r="H74" s="35">
        <v>-1</v>
      </c>
      <c r="I74" s="35">
        <v>-1</v>
      </c>
      <c r="J74" s="35">
        <v>-1</v>
      </c>
      <c r="K74" s="35">
        <v>-1</v>
      </c>
      <c r="L74" s="35">
        <v>-1</v>
      </c>
      <c r="M74" s="35">
        <v>-1</v>
      </c>
      <c r="N74" s="35">
        <v>-1</v>
      </c>
      <c r="O74" s="35">
        <v>-1</v>
      </c>
      <c r="P74" s="35">
        <v>-1</v>
      </c>
      <c r="Q74" s="35">
        <v>-1</v>
      </c>
      <c r="S74" s="5" t="str">
        <f>IF(_xlfn.XLOOKUP(StatTbl[[#This Row],[Join]],TargetSlots[Join],TargetSlots[Join],"Не найдено")&lt;&gt;"Не найдено","Ищем","Не ищем")</f>
        <v>Не ищем</v>
      </c>
      <c r="T74" s="4" t="str">
        <f ca="1">IF(COUNTIFS(OFFSET(D74:$Q74,0,SearchDay-1,,15-SearchDay),"&lt;="&amp; ValidC,OFFSET(D74:$Q74,0,SearchDay-1,,15-SearchDay),"&gt;-1")&gt;0,"Есть слот!","Ничего")</f>
        <v>Ничего</v>
      </c>
      <c r="U74">
        <f ca="1">IF(S74="Ищем",IF(StatTbl[[#This Row],[Доступность]]="Есть слот!",COUNTIFS(OFFSET(D74:$Q74,0,SearchDay-1),"&lt;="&amp; ValidC,OFFSET(D74:$Q74,0,SearchDay-1),"&gt;-1"),0),0)</f>
        <v>0</v>
      </c>
      <c r="V74" t="str" cm="1">
        <f t="array" aca="1" ref="V74" ca="1">IF(StatTbl[[#This Row],[Кол-во слотов]]&gt;0, B74&amp;" "&amp;C74&amp;" "&amp;_xlfn.TEXTJOIN(", ",FALSE,TEXT(_xlfn._xlws.FILTER(OFFSET($D$8:$Q$8,0,SearchDay-1,,15-SearchDay),(OFFSET(D74:Q74,0,SearchDay-1,,15-SearchDay)&gt;-1)*(OFFSET(D74:Q74,0,SearchDay-1,,15-SearchDay)&lt;=ValidC)),"ДД/ММ")),"")</f>
        <v/>
      </c>
      <c r="W74" t="str">
        <f t="shared" si="1"/>
        <v>НовосибирскМонопаллеты</v>
      </c>
      <c r="Y74" s="10"/>
      <c r="Z74" s="10"/>
      <c r="AA74" s="10"/>
      <c r="AB74" s="10"/>
    </row>
    <row r="75" spans="2:28" x14ac:dyDescent="0.45">
      <c r="B75" s="12" t="s">
        <v>23</v>
      </c>
      <c r="C75" s="12" t="s">
        <v>6</v>
      </c>
      <c r="D75" s="35">
        <v>-1</v>
      </c>
      <c r="E75" s="35">
        <v>-1</v>
      </c>
      <c r="F75" s="35">
        <v>-1</v>
      </c>
      <c r="G75" s="35">
        <v>-1</v>
      </c>
      <c r="H75" s="35">
        <v>-1</v>
      </c>
      <c r="I75" s="35">
        <v>-1</v>
      </c>
      <c r="J75" s="35">
        <v>-1</v>
      </c>
      <c r="K75" s="35">
        <v>-1</v>
      </c>
      <c r="L75" s="35">
        <v>-1</v>
      </c>
      <c r="M75" s="35">
        <v>-1</v>
      </c>
      <c r="N75" s="35">
        <v>-1</v>
      </c>
      <c r="O75" s="35">
        <v>-1</v>
      </c>
      <c r="P75" s="35">
        <v>-1</v>
      </c>
      <c r="Q75" s="35">
        <v>-1</v>
      </c>
      <c r="S75" s="5" t="str">
        <f>IF(_xlfn.XLOOKUP(StatTbl[[#This Row],[Join]],TargetSlots[Join],TargetSlots[Join],"Не найдено")&lt;&gt;"Не найдено","Ищем","Не ищем")</f>
        <v>Не ищем</v>
      </c>
      <c r="T75" s="4" t="str">
        <f ca="1">IF(COUNTIFS(OFFSET(D75:$Q75,0,SearchDay-1,,15-SearchDay),"&lt;="&amp; ValidC,OFFSET(D75:$Q75,0,SearchDay-1,,15-SearchDay),"&gt;-1")&gt;0,"Есть слот!","Ничего")</f>
        <v>Ничего</v>
      </c>
      <c r="U75">
        <f ca="1">IF(S75="Ищем",IF(StatTbl[[#This Row],[Доступность]]="Есть слот!",COUNTIFS(OFFSET(D75:$Q75,0,SearchDay-1),"&lt;="&amp; ValidC,OFFSET(D75:$Q75,0,SearchDay-1),"&gt;-1"),0),0)</f>
        <v>0</v>
      </c>
      <c r="V75" t="str" cm="1">
        <f t="array" aca="1" ref="V75" ca="1">IF(StatTbl[[#This Row],[Кол-во слотов]]&gt;0, B75&amp;" "&amp;C75&amp;" "&amp;_xlfn.TEXTJOIN(", ",FALSE,TEXT(_xlfn._xlws.FILTER(OFFSET($D$8:$Q$8,0,SearchDay-1,,15-SearchDay),(OFFSET(D75:Q75,0,SearchDay-1,,15-SearchDay)&gt;-1)*(OFFSET(D75:Q75,0,SearchDay-1,,15-SearchDay)&lt;=ValidC)),"ДД/ММ")),"")</f>
        <v/>
      </c>
      <c r="W75" t="str">
        <f t="shared" si="1"/>
        <v>НовосибирскСуперсейф</v>
      </c>
      <c r="Y75" s="10"/>
      <c r="Z75" s="10"/>
      <c r="AA75" s="10"/>
      <c r="AB75" s="10"/>
    </row>
    <row r="76" spans="2:28" x14ac:dyDescent="0.45">
      <c r="B76" s="12" t="s">
        <v>23</v>
      </c>
      <c r="C76" s="12" t="s">
        <v>111</v>
      </c>
      <c r="D76" s="35">
        <v>-1</v>
      </c>
      <c r="E76" s="35">
        <v>-1</v>
      </c>
      <c r="F76" s="35">
        <v>-1</v>
      </c>
      <c r="G76" s="35">
        <v>-1</v>
      </c>
      <c r="H76" s="35">
        <v>-1</v>
      </c>
      <c r="I76" s="35">
        <v>-1</v>
      </c>
      <c r="J76" s="35">
        <v>-1</v>
      </c>
      <c r="K76" s="35">
        <v>-1</v>
      </c>
      <c r="L76" s="35">
        <v>-1</v>
      </c>
      <c r="M76" s="35">
        <v>-1</v>
      </c>
      <c r="N76" s="35">
        <v>-1</v>
      </c>
      <c r="O76" s="35">
        <v>-1</v>
      </c>
      <c r="P76" s="35">
        <v>-1</v>
      </c>
      <c r="Q76" s="35">
        <v>-1</v>
      </c>
      <c r="S76" s="5" t="str">
        <f>IF(_xlfn.XLOOKUP(StatTbl[[#This Row],[Join]],TargetSlots[Join],TargetSlots[Join],"Не найдено")&lt;&gt;"Не найдено","Ищем","Не ищем")</f>
        <v>Не ищем</v>
      </c>
      <c r="T76" s="4" t="str">
        <f ca="1">IF(COUNTIFS(OFFSET(D76:$Q76,0,SearchDay-1,,15-SearchDay),"&lt;="&amp; ValidC,OFFSET(D76:$Q76,0,SearchDay-1,,15-SearchDay),"&gt;-1")&gt;0,"Есть слот!","Ничего")</f>
        <v>Ничего</v>
      </c>
      <c r="U76">
        <f ca="1">IF(S76="Ищем",IF(StatTbl[[#This Row],[Доступность]]="Есть слот!",COUNTIFS(OFFSET(D76:$Q76,0,SearchDay-1),"&lt;="&amp; ValidC,OFFSET(D76:$Q76,0,SearchDay-1),"&gt;-1"),0),0)</f>
        <v>0</v>
      </c>
      <c r="V76" t="str" cm="1">
        <f t="array" aca="1" ref="V76" ca="1">IF(StatTbl[[#This Row],[Кол-во слотов]]&gt;0, B76&amp;" "&amp;C76&amp;" "&amp;_xlfn.TEXTJOIN(", ",FALSE,TEXT(_xlfn._xlws.FILTER(OFFSET($D$8:$Q$8,0,SearchDay-1,,15-SearchDay),(OFFSET(D76:Q76,0,SearchDay-1,,15-SearchDay)&gt;-1)*(OFFSET(D76:Q76,0,SearchDay-1,,15-SearchDay)&lt;=ValidC)),"ДД/ММ")),"")</f>
        <v/>
      </c>
      <c r="W76" t="str">
        <f t="shared" si="1"/>
        <v>НовосибирскQR-поставка</v>
      </c>
      <c r="Y76" s="10"/>
      <c r="Z76" s="10"/>
      <c r="AA76" s="10"/>
      <c r="AB76" s="10"/>
    </row>
    <row r="77" spans="2:28" x14ac:dyDescent="0.45">
      <c r="B77" s="12" t="s">
        <v>24</v>
      </c>
      <c r="C77" s="12" t="s">
        <v>109</v>
      </c>
      <c r="D77" s="35">
        <v>-1</v>
      </c>
      <c r="E77" s="35">
        <v>-1</v>
      </c>
      <c r="F77" s="35">
        <v>-1</v>
      </c>
      <c r="G77" s="35">
        <v>-1</v>
      </c>
      <c r="H77" s="35">
        <v>-1</v>
      </c>
      <c r="I77" s="35">
        <v>-1</v>
      </c>
      <c r="J77" s="35">
        <v>-1</v>
      </c>
      <c r="K77" s="35">
        <v>-1</v>
      </c>
      <c r="L77" s="35">
        <v>-1</v>
      </c>
      <c r="M77" s="35">
        <v>-1</v>
      </c>
      <c r="N77" s="35">
        <v>-1</v>
      </c>
      <c r="O77" s="35">
        <v>-1</v>
      </c>
      <c r="P77" s="35">
        <v>-1</v>
      </c>
      <c r="Q77" s="35">
        <v>-1</v>
      </c>
      <c r="S77" s="5" t="str">
        <f>IF(_xlfn.XLOOKUP(StatTbl[[#This Row],[Join]],TargetSlots[Join],TargetSlots[Join],"Не найдено")&lt;&gt;"Не найдено","Ищем","Не ищем")</f>
        <v>Не ищем</v>
      </c>
      <c r="T77" s="4" t="str">
        <f ca="1">IF(COUNTIFS(OFFSET(D77:$Q77,0,SearchDay-1,,15-SearchDay),"&lt;="&amp; ValidC,OFFSET(D77:$Q77,0,SearchDay-1,,15-SearchDay),"&gt;-1")&gt;0,"Есть слот!","Ничего")</f>
        <v>Ничего</v>
      </c>
      <c r="U77">
        <f ca="1">IF(S77="Ищем",IF(StatTbl[[#This Row],[Доступность]]="Есть слот!",COUNTIFS(OFFSET(D77:$Q77,0,SearchDay-1),"&lt;="&amp; ValidC,OFFSET(D77:$Q77,0,SearchDay-1),"&gt;-1"),0),0)</f>
        <v>0</v>
      </c>
      <c r="V77" t="str" cm="1">
        <f t="array" aca="1" ref="V77" ca="1">IF(StatTbl[[#This Row],[Кол-во слотов]]&gt;0, B77&amp;" "&amp;C77&amp;" "&amp;_xlfn.TEXTJOIN(", ",FALSE,TEXT(_xlfn._xlws.FILTER(OFFSET($D$8:$Q$8,0,SearchDay-1,,15-SearchDay),(OFFSET(D77:Q77,0,SearchDay-1,,15-SearchDay)&gt;-1)*(OFFSET(D77:Q77,0,SearchDay-1,,15-SearchDay)&lt;=ValidC)),"ДД/ММ")),"")</f>
        <v/>
      </c>
      <c r="W77" t="str">
        <f t="shared" si="1"/>
        <v>ОбуховоКороба</v>
      </c>
      <c r="Y77" s="10"/>
      <c r="Z77" s="10"/>
      <c r="AA77" s="10"/>
      <c r="AB77" s="10"/>
    </row>
    <row r="78" spans="2:28" x14ac:dyDescent="0.45">
      <c r="B78" s="12" t="s">
        <v>24</v>
      </c>
      <c r="C78" s="12" t="s">
        <v>110</v>
      </c>
      <c r="D78" s="35">
        <v>-1</v>
      </c>
      <c r="E78" s="35">
        <v>-1</v>
      </c>
      <c r="F78" s="35">
        <v>-1</v>
      </c>
      <c r="G78" s="35">
        <v>-1</v>
      </c>
      <c r="H78" s="35">
        <v>-1</v>
      </c>
      <c r="I78" s="35">
        <v>-1</v>
      </c>
      <c r="J78" s="35">
        <v>-1</v>
      </c>
      <c r="K78" s="35">
        <v>-1</v>
      </c>
      <c r="L78" s="35">
        <v>-1</v>
      </c>
      <c r="M78" s="35">
        <v>-1</v>
      </c>
      <c r="N78" s="35">
        <v>-1</v>
      </c>
      <c r="O78" s="35">
        <v>-1</v>
      </c>
      <c r="P78" s="35">
        <v>-1</v>
      </c>
      <c r="Q78" s="35">
        <v>-1</v>
      </c>
      <c r="S78" s="5" t="str">
        <f>IF(_xlfn.XLOOKUP(StatTbl[[#This Row],[Join]],TargetSlots[Join],TargetSlots[Join],"Не найдено")&lt;&gt;"Не найдено","Ищем","Не ищем")</f>
        <v>Не ищем</v>
      </c>
      <c r="T78" s="4" t="str">
        <f ca="1">IF(COUNTIFS(OFFSET(D78:$Q78,0,SearchDay-1,,15-SearchDay),"&lt;="&amp; ValidC,OFFSET(D78:$Q78,0,SearchDay-1,,15-SearchDay),"&gt;-1")&gt;0,"Есть слот!","Ничего")</f>
        <v>Ничего</v>
      </c>
      <c r="U78">
        <f ca="1">IF(S78="Ищем",IF(StatTbl[[#This Row],[Доступность]]="Есть слот!",COUNTIFS(OFFSET(D78:$Q78,0,SearchDay-1),"&lt;="&amp; ValidC,OFFSET(D78:$Q78,0,SearchDay-1),"&gt;-1"),0),0)</f>
        <v>0</v>
      </c>
      <c r="V78" t="str" cm="1">
        <f t="array" aca="1" ref="V78" ca="1">IF(StatTbl[[#This Row],[Кол-во слотов]]&gt;0, B78&amp;" "&amp;C78&amp;" "&amp;_xlfn.TEXTJOIN(", ",FALSE,TEXT(_xlfn._xlws.FILTER(OFFSET($D$8:$Q$8,0,SearchDay-1,,15-SearchDay),(OFFSET(D78:Q78,0,SearchDay-1,,15-SearchDay)&gt;-1)*(OFFSET(D78:Q78,0,SearchDay-1,,15-SearchDay)&lt;=ValidC)),"ДД/ММ")),"")</f>
        <v/>
      </c>
      <c r="W78" t="str">
        <f t="shared" si="1"/>
        <v>ОбуховоМонопаллеты</v>
      </c>
      <c r="Y78" s="10"/>
      <c r="Z78" s="10"/>
      <c r="AA78" s="10"/>
      <c r="AB78" s="10"/>
    </row>
    <row r="79" spans="2:28" x14ac:dyDescent="0.45">
      <c r="B79" s="12" t="s">
        <v>24</v>
      </c>
      <c r="C79" s="12" t="s">
        <v>6</v>
      </c>
      <c r="D79" s="35">
        <v>-1</v>
      </c>
      <c r="E79" s="35">
        <v>-1</v>
      </c>
      <c r="F79" s="35">
        <v>-1</v>
      </c>
      <c r="G79" s="35">
        <v>-1</v>
      </c>
      <c r="H79" s="35">
        <v>-1</v>
      </c>
      <c r="I79" s="35">
        <v>-1</v>
      </c>
      <c r="J79" s="35">
        <v>-1</v>
      </c>
      <c r="K79" s="35">
        <v>-1</v>
      </c>
      <c r="L79" s="35">
        <v>-1</v>
      </c>
      <c r="M79" s="35">
        <v>-1</v>
      </c>
      <c r="N79" s="35">
        <v>-1</v>
      </c>
      <c r="O79" s="35">
        <v>-1</v>
      </c>
      <c r="P79" s="35">
        <v>-1</v>
      </c>
      <c r="Q79" s="35">
        <v>-1</v>
      </c>
      <c r="S79" s="5" t="str">
        <f>IF(_xlfn.XLOOKUP(StatTbl[[#This Row],[Join]],TargetSlots[Join],TargetSlots[Join],"Не найдено")&lt;&gt;"Не найдено","Ищем","Не ищем")</f>
        <v>Не ищем</v>
      </c>
      <c r="T79" s="4" t="str">
        <f ca="1">IF(COUNTIFS(OFFSET(D79:$Q79,0,SearchDay-1,,15-SearchDay),"&lt;="&amp; ValidC,OFFSET(D79:$Q79,0,SearchDay-1,,15-SearchDay),"&gt;-1")&gt;0,"Есть слот!","Ничего")</f>
        <v>Ничего</v>
      </c>
      <c r="U79">
        <f ca="1">IF(S79="Ищем",IF(StatTbl[[#This Row],[Доступность]]="Есть слот!",COUNTIFS(OFFSET(D79:$Q79,0,SearchDay-1),"&lt;="&amp; ValidC,OFFSET(D79:$Q79,0,SearchDay-1),"&gt;-1"),0),0)</f>
        <v>0</v>
      </c>
      <c r="V79" t="str" cm="1">
        <f t="array" aca="1" ref="V79" ca="1">IF(StatTbl[[#This Row],[Кол-во слотов]]&gt;0, B79&amp;" "&amp;C79&amp;" "&amp;_xlfn.TEXTJOIN(", ",FALSE,TEXT(_xlfn._xlws.FILTER(OFFSET($D$8:$Q$8,0,SearchDay-1,,15-SearchDay),(OFFSET(D79:Q79,0,SearchDay-1,,15-SearchDay)&gt;-1)*(OFFSET(D79:Q79,0,SearchDay-1,,15-SearchDay)&lt;=ValidC)),"ДД/ММ")),"")</f>
        <v/>
      </c>
      <c r="W79" t="str">
        <f t="shared" si="1"/>
        <v>ОбуховоСуперсейф</v>
      </c>
      <c r="Y79" s="10"/>
      <c r="Z79" s="10"/>
      <c r="AA79" s="10"/>
      <c r="AB79" s="10"/>
    </row>
    <row r="80" spans="2:28" x14ac:dyDescent="0.45">
      <c r="B80" s="12" t="s">
        <v>24</v>
      </c>
      <c r="C80" s="12" t="s">
        <v>111</v>
      </c>
      <c r="D80" s="35">
        <v>-1</v>
      </c>
      <c r="E80" s="35">
        <v>-1</v>
      </c>
      <c r="F80" s="35">
        <v>-1</v>
      </c>
      <c r="G80" s="35">
        <v>-1</v>
      </c>
      <c r="H80" s="35">
        <v>-1</v>
      </c>
      <c r="I80" s="35">
        <v>-1</v>
      </c>
      <c r="J80" s="35">
        <v>-1</v>
      </c>
      <c r="K80" s="35">
        <v>-1</v>
      </c>
      <c r="L80" s="35">
        <v>-1</v>
      </c>
      <c r="M80" s="35">
        <v>-1</v>
      </c>
      <c r="N80" s="35">
        <v>-1</v>
      </c>
      <c r="O80" s="35">
        <v>-1</v>
      </c>
      <c r="P80" s="35">
        <v>-1</v>
      </c>
      <c r="Q80" s="35">
        <v>-1</v>
      </c>
      <c r="S80" s="5" t="str">
        <f>IF(_xlfn.XLOOKUP(StatTbl[[#This Row],[Join]],TargetSlots[Join],TargetSlots[Join],"Не найдено")&lt;&gt;"Не найдено","Ищем","Не ищем")</f>
        <v>Не ищем</v>
      </c>
      <c r="T80" s="4" t="str">
        <f ca="1">IF(COUNTIFS(OFFSET(D80:$Q80,0,SearchDay-1,,15-SearchDay),"&lt;="&amp; ValidC,OFFSET(D80:$Q80,0,SearchDay-1,,15-SearchDay),"&gt;-1")&gt;0,"Есть слот!","Ничего")</f>
        <v>Ничего</v>
      </c>
      <c r="U80">
        <f ca="1">IF(S80="Ищем",IF(StatTbl[[#This Row],[Доступность]]="Есть слот!",COUNTIFS(OFFSET(D80:$Q80,0,SearchDay-1),"&lt;="&amp; ValidC,OFFSET(D80:$Q80,0,SearchDay-1),"&gt;-1"),0),0)</f>
        <v>0</v>
      </c>
      <c r="V80" t="str" cm="1">
        <f t="array" aca="1" ref="V80" ca="1">IF(StatTbl[[#This Row],[Кол-во слотов]]&gt;0, B80&amp;" "&amp;C80&amp;" "&amp;_xlfn.TEXTJOIN(", ",FALSE,TEXT(_xlfn._xlws.FILTER(OFFSET($D$8:$Q$8,0,SearchDay-1,,15-SearchDay),(OFFSET(D80:Q80,0,SearchDay-1,,15-SearchDay)&gt;-1)*(OFFSET(D80:Q80,0,SearchDay-1,,15-SearchDay)&lt;=ValidC)),"ДД/ММ")),"")</f>
        <v/>
      </c>
      <c r="W80" t="str">
        <f t="shared" si="1"/>
        <v>ОбуховоQR-поставка</v>
      </c>
      <c r="Y80" s="10"/>
      <c r="Z80" s="10"/>
      <c r="AA80" s="10"/>
      <c r="AB80" s="10"/>
    </row>
    <row r="81" spans="2:28" x14ac:dyDescent="0.45">
      <c r="B81" s="12" t="s">
        <v>25</v>
      </c>
      <c r="C81" s="12" t="s">
        <v>109</v>
      </c>
      <c r="D81" s="35">
        <v>-1</v>
      </c>
      <c r="E81" s="35">
        <v>-1</v>
      </c>
      <c r="F81" s="35">
        <v>-1</v>
      </c>
      <c r="G81" s="35">
        <v>-1</v>
      </c>
      <c r="H81" s="35">
        <v>-1</v>
      </c>
      <c r="I81" s="35">
        <v>-1</v>
      </c>
      <c r="J81" s="35">
        <v>-1</v>
      </c>
      <c r="K81" s="35">
        <v>-1</v>
      </c>
      <c r="L81" s="35">
        <v>-1</v>
      </c>
      <c r="M81" s="35">
        <v>-1</v>
      </c>
      <c r="N81" s="35">
        <v>-1</v>
      </c>
      <c r="O81" s="35">
        <v>-1</v>
      </c>
      <c r="P81" s="35">
        <v>-1</v>
      </c>
      <c r="Q81" s="35">
        <v>-1</v>
      </c>
      <c r="S81" s="5" t="str">
        <f>IF(_xlfn.XLOOKUP(StatTbl[[#This Row],[Join]],TargetSlots[Join],TargetSlots[Join],"Не найдено")&lt;&gt;"Не найдено","Ищем","Не ищем")</f>
        <v>Не ищем</v>
      </c>
      <c r="T81" s="4" t="str">
        <f ca="1">IF(COUNTIFS(OFFSET(D81:$Q81,0,SearchDay-1,,15-SearchDay),"&lt;="&amp; ValidC,OFFSET(D81:$Q81,0,SearchDay-1,,15-SearchDay),"&gt;-1")&gt;0,"Есть слот!","Ничего")</f>
        <v>Ничего</v>
      </c>
      <c r="U81">
        <f ca="1">IF(S81="Ищем",IF(StatTbl[[#This Row],[Доступность]]="Есть слот!",COUNTIFS(OFFSET(D81:$Q81,0,SearchDay-1),"&lt;="&amp; ValidC,OFFSET(D81:$Q81,0,SearchDay-1),"&gt;-1"),0),0)</f>
        <v>0</v>
      </c>
      <c r="V81" t="str" cm="1">
        <f t="array" aca="1" ref="V81" ca="1">IF(StatTbl[[#This Row],[Кол-во слотов]]&gt;0, B81&amp;" "&amp;C81&amp;" "&amp;_xlfn.TEXTJOIN(", ",FALSE,TEXT(_xlfn._xlws.FILTER(OFFSET($D$8:$Q$8,0,SearchDay-1,,15-SearchDay),(OFFSET(D81:Q81,0,SearchDay-1,,15-SearchDay)&gt;-1)*(OFFSET(D81:Q81,0,SearchDay-1,,15-SearchDay)&lt;=ValidC)),"ДД/ММ")),"")</f>
        <v/>
      </c>
      <c r="W81" t="str">
        <f t="shared" si="1"/>
        <v>Обухово СГТКороба</v>
      </c>
      <c r="Y81" s="10"/>
      <c r="Z81" s="10"/>
      <c r="AA81" s="10"/>
      <c r="AB81" s="10"/>
    </row>
    <row r="82" spans="2:28" x14ac:dyDescent="0.45">
      <c r="B82" s="12" t="s">
        <v>25</v>
      </c>
      <c r="C82" s="12" t="s">
        <v>110</v>
      </c>
      <c r="D82" s="35">
        <v>-1</v>
      </c>
      <c r="E82" s="35">
        <v>-1</v>
      </c>
      <c r="F82" s="35">
        <v>-1</v>
      </c>
      <c r="G82" s="35">
        <v>-1</v>
      </c>
      <c r="H82" s="35">
        <v>-1</v>
      </c>
      <c r="I82" s="35">
        <v>-1</v>
      </c>
      <c r="J82" s="35">
        <v>-1</v>
      </c>
      <c r="K82" s="35">
        <v>-1</v>
      </c>
      <c r="L82" s="35">
        <v>-1</v>
      </c>
      <c r="M82" s="35">
        <v>-1</v>
      </c>
      <c r="N82" s="35">
        <v>-1</v>
      </c>
      <c r="O82" s="35">
        <v>-1</v>
      </c>
      <c r="P82" s="35">
        <v>-1</v>
      </c>
      <c r="Q82" s="35">
        <v>-1</v>
      </c>
      <c r="S82" s="5" t="str">
        <f>IF(_xlfn.XLOOKUP(StatTbl[[#This Row],[Join]],TargetSlots[Join],TargetSlots[Join],"Не найдено")&lt;&gt;"Не найдено","Ищем","Не ищем")</f>
        <v>Не ищем</v>
      </c>
      <c r="T82" s="4" t="str">
        <f ca="1">IF(COUNTIFS(OFFSET(D82:$Q82,0,SearchDay-1,,15-SearchDay),"&lt;="&amp; ValidC,OFFSET(D82:$Q82,0,SearchDay-1,,15-SearchDay),"&gt;-1")&gt;0,"Есть слот!","Ничего")</f>
        <v>Ничего</v>
      </c>
      <c r="U82">
        <f ca="1">IF(S82="Ищем",IF(StatTbl[[#This Row],[Доступность]]="Есть слот!",COUNTIFS(OFFSET(D82:$Q82,0,SearchDay-1),"&lt;="&amp; ValidC,OFFSET(D82:$Q82,0,SearchDay-1),"&gt;-1"),0),0)</f>
        <v>0</v>
      </c>
      <c r="V82" t="str" cm="1">
        <f t="array" aca="1" ref="V82" ca="1">IF(StatTbl[[#This Row],[Кол-во слотов]]&gt;0, B82&amp;" "&amp;C82&amp;" "&amp;_xlfn.TEXTJOIN(", ",FALSE,TEXT(_xlfn._xlws.FILTER(OFFSET($D$8:$Q$8,0,SearchDay-1,,15-SearchDay),(OFFSET(D82:Q82,0,SearchDay-1,,15-SearchDay)&gt;-1)*(OFFSET(D82:Q82,0,SearchDay-1,,15-SearchDay)&lt;=ValidC)),"ДД/ММ")),"")</f>
        <v/>
      </c>
      <c r="W82" t="str">
        <f t="shared" si="1"/>
        <v>Обухово СГТМонопаллеты</v>
      </c>
      <c r="Y82" s="10"/>
      <c r="Z82" s="10"/>
      <c r="AA82" s="10"/>
      <c r="AB82" s="10"/>
    </row>
    <row r="83" spans="2:28" x14ac:dyDescent="0.45">
      <c r="B83" s="12" t="s">
        <v>25</v>
      </c>
      <c r="C83" s="12" t="s">
        <v>6</v>
      </c>
      <c r="D83" s="35">
        <v>-1</v>
      </c>
      <c r="E83" s="35">
        <v>-1</v>
      </c>
      <c r="F83" s="35">
        <v>-1</v>
      </c>
      <c r="G83" s="35">
        <v>-1</v>
      </c>
      <c r="H83" s="35">
        <v>-1</v>
      </c>
      <c r="I83" s="35">
        <v>-1</v>
      </c>
      <c r="J83" s="35">
        <v>-1</v>
      </c>
      <c r="K83" s="35">
        <v>-1</v>
      </c>
      <c r="L83" s="35">
        <v>-1</v>
      </c>
      <c r="M83" s="35">
        <v>-1</v>
      </c>
      <c r="N83" s="35">
        <v>-1</v>
      </c>
      <c r="O83" s="35">
        <v>-1</v>
      </c>
      <c r="P83" s="35">
        <v>-1</v>
      </c>
      <c r="Q83" s="35">
        <v>-1</v>
      </c>
      <c r="S83" s="5" t="str">
        <f>IF(_xlfn.XLOOKUP(StatTbl[[#This Row],[Join]],TargetSlots[Join],TargetSlots[Join],"Не найдено")&lt;&gt;"Не найдено","Ищем","Не ищем")</f>
        <v>Не ищем</v>
      </c>
      <c r="T83" s="4" t="str">
        <f ca="1">IF(COUNTIFS(OFFSET(D83:$Q83,0,SearchDay-1,,15-SearchDay),"&lt;="&amp; ValidC,OFFSET(D83:$Q83,0,SearchDay-1,,15-SearchDay),"&gt;-1")&gt;0,"Есть слот!","Ничего")</f>
        <v>Ничего</v>
      </c>
      <c r="U83">
        <f ca="1">IF(S83="Ищем",IF(StatTbl[[#This Row],[Доступность]]="Есть слот!",COUNTIFS(OFFSET(D83:$Q83,0,SearchDay-1),"&lt;="&amp; ValidC,OFFSET(D83:$Q83,0,SearchDay-1),"&gt;-1"),0),0)</f>
        <v>0</v>
      </c>
      <c r="V83" t="str" cm="1">
        <f t="array" aca="1" ref="V83" ca="1">IF(StatTbl[[#This Row],[Кол-во слотов]]&gt;0, B83&amp;" "&amp;C83&amp;" "&amp;_xlfn.TEXTJOIN(", ",FALSE,TEXT(_xlfn._xlws.FILTER(OFFSET($D$8:$Q$8,0,SearchDay-1,,15-SearchDay),(OFFSET(D83:Q83,0,SearchDay-1,,15-SearchDay)&gt;-1)*(OFFSET(D83:Q83,0,SearchDay-1,,15-SearchDay)&lt;=ValidC)),"ДД/ММ")),"")</f>
        <v/>
      </c>
      <c r="W83" t="str">
        <f t="shared" si="1"/>
        <v>Обухово СГТСуперсейф</v>
      </c>
      <c r="Y83" s="10"/>
      <c r="Z83" s="10"/>
      <c r="AA83" s="10"/>
      <c r="AB83" s="10"/>
    </row>
    <row r="84" spans="2:28" x14ac:dyDescent="0.45">
      <c r="B84" s="12" t="s">
        <v>25</v>
      </c>
      <c r="C84" s="12" t="s">
        <v>111</v>
      </c>
      <c r="D84" s="35">
        <v>-1</v>
      </c>
      <c r="E84" s="35">
        <v>-1</v>
      </c>
      <c r="F84" s="35">
        <v>-1</v>
      </c>
      <c r="G84" s="35">
        <v>-1</v>
      </c>
      <c r="H84" s="35">
        <v>-1</v>
      </c>
      <c r="I84" s="35">
        <v>-1</v>
      </c>
      <c r="J84" s="35">
        <v>-1</v>
      </c>
      <c r="K84" s="35">
        <v>-1</v>
      </c>
      <c r="L84" s="35">
        <v>-1</v>
      </c>
      <c r="M84" s="35">
        <v>-1</v>
      </c>
      <c r="N84" s="35">
        <v>-1</v>
      </c>
      <c r="O84" s="35">
        <v>-1</v>
      </c>
      <c r="P84" s="35">
        <v>-1</v>
      </c>
      <c r="Q84" s="35">
        <v>-1</v>
      </c>
      <c r="S84" s="5" t="str">
        <f>IF(_xlfn.XLOOKUP(StatTbl[[#This Row],[Join]],TargetSlots[Join],TargetSlots[Join],"Не найдено")&lt;&gt;"Не найдено","Ищем","Не ищем")</f>
        <v>Не ищем</v>
      </c>
      <c r="T84" s="4" t="str">
        <f ca="1">IF(COUNTIFS(OFFSET(D84:$Q84,0,SearchDay-1,,15-SearchDay),"&lt;="&amp; ValidC,OFFSET(D84:$Q84,0,SearchDay-1,,15-SearchDay),"&gt;-1")&gt;0,"Есть слот!","Ничего")</f>
        <v>Ничего</v>
      </c>
      <c r="U84">
        <f ca="1">IF(S84="Ищем",IF(StatTbl[[#This Row],[Доступность]]="Есть слот!",COUNTIFS(OFFSET(D84:$Q84,0,SearchDay-1),"&lt;="&amp; ValidC,OFFSET(D84:$Q84,0,SearchDay-1),"&gt;-1"),0),0)</f>
        <v>0</v>
      </c>
      <c r="V84" t="str" cm="1">
        <f t="array" aca="1" ref="V84" ca="1">IF(StatTbl[[#This Row],[Кол-во слотов]]&gt;0, B84&amp;" "&amp;C84&amp;" "&amp;_xlfn.TEXTJOIN(", ",FALSE,TEXT(_xlfn._xlws.FILTER(OFFSET($D$8:$Q$8,0,SearchDay-1,,15-SearchDay),(OFFSET(D84:Q84,0,SearchDay-1,,15-SearchDay)&gt;-1)*(OFFSET(D84:Q84,0,SearchDay-1,,15-SearchDay)&lt;=ValidC)),"ДД/ММ")),"")</f>
        <v/>
      </c>
      <c r="W84" t="str">
        <f t="shared" si="1"/>
        <v>Обухово СГТQR-поставка</v>
      </c>
      <c r="Y84" s="10"/>
      <c r="Z84" s="10"/>
      <c r="AA84" s="10"/>
      <c r="AB84" s="10"/>
    </row>
    <row r="85" spans="2:28" x14ac:dyDescent="0.45">
      <c r="B85" s="12" t="s">
        <v>5</v>
      </c>
      <c r="C85" s="12" t="s">
        <v>109</v>
      </c>
      <c r="D85" s="35">
        <v>-1</v>
      </c>
      <c r="E85" s="35">
        <v>-1</v>
      </c>
      <c r="F85" s="35">
        <v>-1</v>
      </c>
      <c r="G85" s="35">
        <v>-1</v>
      </c>
      <c r="H85" s="35">
        <v>-1</v>
      </c>
      <c r="I85" s="35">
        <v>-1</v>
      </c>
      <c r="J85" s="35">
        <v>-1</v>
      </c>
      <c r="K85" s="35">
        <v>-1</v>
      </c>
      <c r="L85" s="35">
        <v>-1</v>
      </c>
      <c r="M85" s="35">
        <v>-1</v>
      </c>
      <c r="N85" s="35">
        <v>-1</v>
      </c>
      <c r="O85" s="35">
        <v>-1</v>
      </c>
      <c r="P85" s="35">
        <v>-1</v>
      </c>
      <c r="Q85" s="35">
        <v>-1</v>
      </c>
      <c r="S85" s="5" t="str">
        <f>IF(_xlfn.XLOOKUP(StatTbl[[#This Row],[Join]],TargetSlots[Join],TargetSlots[Join],"Не найдено")&lt;&gt;"Не найдено","Ищем","Не ищем")</f>
        <v>Не ищем</v>
      </c>
      <c r="T85" s="4" t="str">
        <f ca="1">IF(COUNTIFS(OFFSET(D85:$Q85,0,SearchDay-1,,15-SearchDay),"&lt;="&amp; ValidC,OFFSET(D85:$Q85,0,SearchDay-1,,15-SearchDay),"&gt;-1")&gt;0,"Есть слот!","Ничего")</f>
        <v>Ничего</v>
      </c>
      <c r="U85">
        <f ca="1">IF(S85="Ищем",IF(StatTbl[[#This Row],[Доступность]]="Есть слот!",COUNTIFS(OFFSET(D85:$Q85,0,SearchDay-1),"&lt;="&amp; ValidC,OFFSET(D85:$Q85,0,SearchDay-1),"&gt;-1"),0),0)</f>
        <v>0</v>
      </c>
      <c r="V85" t="str" cm="1">
        <f t="array" aca="1" ref="V85" ca="1">IF(StatTbl[[#This Row],[Кол-во слотов]]&gt;0, B85&amp;" "&amp;C85&amp;" "&amp;_xlfn.TEXTJOIN(", ",FALSE,TEXT(_xlfn._xlws.FILTER(OFFSET($D$8:$Q$8,0,SearchDay-1,,15-SearchDay),(OFFSET(D85:Q85,0,SearchDay-1,,15-SearchDay)&gt;-1)*(OFFSET(D85:Q85,0,SearchDay-1,,15-SearchDay)&lt;=ValidC)),"ДД/ММ")),"")</f>
        <v/>
      </c>
      <c r="W85" t="str">
        <f t="shared" si="1"/>
        <v>ПодольскКороба</v>
      </c>
      <c r="Y85" s="10"/>
      <c r="Z85" s="10"/>
      <c r="AA85" s="10"/>
      <c r="AB85" s="10"/>
    </row>
    <row r="86" spans="2:28" x14ac:dyDescent="0.45">
      <c r="B86" s="12" t="s">
        <v>5</v>
      </c>
      <c r="C86" s="12" t="s">
        <v>110</v>
      </c>
      <c r="D86" s="35">
        <v>-1</v>
      </c>
      <c r="E86" s="35">
        <v>-1</v>
      </c>
      <c r="F86" s="35">
        <v>-1</v>
      </c>
      <c r="G86" s="35">
        <v>-1</v>
      </c>
      <c r="H86" s="35">
        <v>-1</v>
      </c>
      <c r="I86" s="35">
        <v>-1</v>
      </c>
      <c r="J86" s="35">
        <v>-1</v>
      </c>
      <c r="K86" s="35">
        <v>-1</v>
      </c>
      <c r="L86" s="35">
        <v>-1</v>
      </c>
      <c r="M86" s="35">
        <v>-1</v>
      </c>
      <c r="N86" s="35">
        <v>-1</v>
      </c>
      <c r="O86" s="35">
        <v>-1</v>
      </c>
      <c r="P86" s="35">
        <v>-1</v>
      </c>
      <c r="Q86" s="35">
        <v>-1</v>
      </c>
      <c r="S86" s="5" t="str">
        <f>IF(_xlfn.XLOOKUP(StatTbl[[#This Row],[Join]],TargetSlots[Join],TargetSlots[Join],"Не найдено")&lt;&gt;"Не найдено","Ищем","Не ищем")</f>
        <v>Не ищем</v>
      </c>
      <c r="T86" s="4" t="str">
        <f ca="1">IF(COUNTIFS(OFFSET(D86:$Q86,0,SearchDay-1,,15-SearchDay),"&lt;="&amp; ValidC,OFFSET(D86:$Q86,0,SearchDay-1,,15-SearchDay),"&gt;-1")&gt;0,"Есть слот!","Ничего")</f>
        <v>Ничего</v>
      </c>
      <c r="U86">
        <f ca="1">IF(S86="Ищем",IF(StatTbl[[#This Row],[Доступность]]="Есть слот!",COUNTIFS(OFFSET(D86:$Q86,0,SearchDay-1),"&lt;="&amp; ValidC,OFFSET(D86:$Q86,0,SearchDay-1),"&gt;-1"),0),0)</f>
        <v>0</v>
      </c>
      <c r="V86" t="str" cm="1">
        <f t="array" aca="1" ref="V86" ca="1">IF(StatTbl[[#This Row],[Кол-во слотов]]&gt;0, B86&amp;" "&amp;C86&amp;" "&amp;_xlfn.TEXTJOIN(", ",FALSE,TEXT(_xlfn._xlws.FILTER(OFFSET($D$8:$Q$8,0,SearchDay-1,,15-SearchDay),(OFFSET(D86:Q86,0,SearchDay-1,,15-SearchDay)&gt;-1)*(OFFSET(D86:Q86,0,SearchDay-1,,15-SearchDay)&lt;=ValidC)),"ДД/ММ")),"")</f>
        <v/>
      </c>
      <c r="W86" t="str">
        <f t="shared" si="1"/>
        <v>ПодольскМонопаллеты</v>
      </c>
      <c r="Y86" s="10"/>
      <c r="Z86" s="10"/>
      <c r="AA86" s="10"/>
      <c r="AB86" s="10"/>
    </row>
    <row r="87" spans="2:28" x14ac:dyDescent="0.45">
      <c r="B87" s="12" t="s">
        <v>5</v>
      </c>
      <c r="C87" s="12" t="s">
        <v>6</v>
      </c>
      <c r="D87" s="35">
        <v>-1</v>
      </c>
      <c r="E87" s="35">
        <v>-1</v>
      </c>
      <c r="F87" s="35">
        <v>-1</v>
      </c>
      <c r="G87" s="35">
        <v>-1</v>
      </c>
      <c r="H87" s="35">
        <v>-1</v>
      </c>
      <c r="I87" s="35">
        <v>-1</v>
      </c>
      <c r="J87" s="35">
        <v>-1</v>
      </c>
      <c r="K87" s="35">
        <v>-1</v>
      </c>
      <c r="L87" s="35">
        <v>-1</v>
      </c>
      <c r="M87" s="35">
        <v>-1</v>
      </c>
      <c r="N87" s="35">
        <v>-1</v>
      </c>
      <c r="O87" s="35">
        <v>-1</v>
      </c>
      <c r="P87" s="35">
        <v>-1</v>
      </c>
      <c r="Q87" s="35">
        <v>-1</v>
      </c>
      <c r="S87" s="5" t="str">
        <f>IF(_xlfn.XLOOKUP(StatTbl[[#This Row],[Join]],TargetSlots[Join],TargetSlots[Join],"Не найдено")&lt;&gt;"Не найдено","Ищем","Не ищем")</f>
        <v>Не ищем</v>
      </c>
      <c r="T87" s="4" t="str">
        <f ca="1">IF(COUNTIFS(OFFSET(D87:$Q87,0,SearchDay-1,,15-SearchDay),"&lt;="&amp; ValidC,OFFSET(D87:$Q87,0,SearchDay-1,,15-SearchDay),"&gt;-1")&gt;0,"Есть слот!","Ничего")</f>
        <v>Ничего</v>
      </c>
      <c r="U87">
        <f ca="1">IF(S87="Ищем",IF(StatTbl[[#This Row],[Доступность]]="Есть слот!",COUNTIFS(OFFSET(D87:$Q87,0,SearchDay-1),"&lt;="&amp; ValidC,OFFSET(D87:$Q87,0,SearchDay-1),"&gt;-1"),0),0)</f>
        <v>0</v>
      </c>
      <c r="V87" t="str" cm="1">
        <f t="array" aca="1" ref="V87" ca="1">IF(StatTbl[[#This Row],[Кол-во слотов]]&gt;0, B87&amp;" "&amp;C87&amp;" "&amp;_xlfn.TEXTJOIN(", ",FALSE,TEXT(_xlfn._xlws.FILTER(OFFSET($D$8:$Q$8,0,SearchDay-1,,15-SearchDay),(OFFSET(D87:Q87,0,SearchDay-1,,15-SearchDay)&gt;-1)*(OFFSET(D87:Q87,0,SearchDay-1,,15-SearchDay)&lt;=ValidC)),"ДД/ММ")),"")</f>
        <v/>
      </c>
      <c r="W87" t="str">
        <f t="shared" si="1"/>
        <v>ПодольскСуперсейф</v>
      </c>
      <c r="Y87" s="10"/>
      <c r="Z87" s="10"/>
      <c r="AA87" s="10"/>
      <c r="AB87" s="10"/>
    </row>
    <row r="88" spans="2:28" x14ac:dyDescent="0.45">
      <c r="B88" s="12" t="s">
        <v>5</v>
      </c>
      <c r="C88" s="12" t="s">
        <v>111</v>
      </c>
      <c r="D88" s="35">
        <v>-1</v>
      </c>
      <c r="E88" s="35">
        <v>-1</v>
      </c>
      <c r="F88" s="35">
        <v>-1</v>
      </c>
      <c r="G88" s="35">
        <v>-1</v>
      </c>
      <c r="H88" s="35">
        <v>-1</v>
      </c>
      <c r="I88" s="35">
        <v>-1</v>
      </c>
      <c r="J88" s="35">
        <v>-1</v>
      </c>
      <c r="K88" s="35">
        <v>-1</v>
      </c>
      <c r="L88" s="35">
        <v>-1</v>
      </c>
      <c r="M88" s="35">
        <v>-1</v>
      </c>
      <c r="N88" s="35">
        <v>-1</v>
      </c>
      <c r="O88" s="35">
        <v>-1</v>
      </c>
      <c r="P88" s="35">
        <v>-1</v>
      </c>
      <c r="Q88" s="35">
        <v>-1</v>
      </c>
      <c r="S88" s="5" t="str">
        <f>IF(_xlfn.XLOOKUP(StatTbl[[#This Row],[Join]],TargetSlots[Join],TargetSlots[Join],"Не найдено")&lt;&gt;"Не найдено","Ищем","Не ищем")</f>
        <v>Не ищем</v>
      </c>
      <c r="T88" s="4" t="str">
        <f ca="1">IF(COUNTIFS(OFFSET(D88:$Q88,0,SearchDay-1,,15-SearchDay),"&lt;="&amp; ValidC,OFFSET(D88:$Q88,0,SearchDay-1,,15-SearchDay),"&gt;-1")&gt;0,"Есть слот!","Ничего")</f>
        <v>Ничего</v>
      </c>
      <c r="U88">
        <f ca="1">IF(S88="Ищем",IF(StatTbl[[#This Row],[Доступность]]="Есть слот!",COUNTIFS(OFFSET(D88:$Q88,0,SearchDay-1),"&lt;="&amp; ValidC,OFFSET(D88:$Q88,0,SearchDay-1),"&gt;-1"),0),0)</f>
        <v>0</v>
      </c>
      <c r="V88" t="str" cm="1">
        <f t="array" aca="1" ref="V88" ca="1">IF(StatTbl[[#This Row],[Кол-во слотов]]&gt;0, B88&amp;" "&amp;C88&amp;" "&amp;_xlfn.TEXTJOIN(", ",FALSE,TEXT(_xlfn._xlws.FILTER(OFFSET($D$8:$Q$8,0,SearchDay-1,,15-SearchDay),(OFFSET(D88:Q88,0,SearchDay-1,,15-SearchDay)&gt;-1)*(OFFSET(D88:Q88,0,SearchDay-1,,15-SearchDay)&lt;=ValidC)),"ДД/ММ")),"")</f>
        <v/>
      </c>
      <c r="W88" t="str">
        <f t="shared" si="1"/>
        <v>ПодольскQR-поставка</v>
      </c>
      <c r="Y88" s="10"/>
      <c r="Z88" s="10"/>
      <c r="AA88" s="10"/>
      <c r="AB88" s="10"/>
    </row>
    <row r="89" spans="2:28" x14ac:dyDescent="0.45">
      <c r="B89" s="12" t="s">
        <v>26</v>
      </c>
      <c r="C89" s="12" t="s">
        <v>109</v>
      </c>
      <c r="D89" s="35">
        <v>-1</v>
      </c>
      <c r="E89" s="35">
        <v>-1</v>
      </c>
      <c r="F89" s="35">
        <v>-1</v>
      </c>
      <c r="G89" s="35">
        <v>-1</v>
      </c>
      <c r="H89" s="35">
        <v>-1</v>
      </c>
      <c r="I89" s="35">
        <v>-1</v>
      </c>
      <c r="J89" s="35">
        <v>-1</v>
      </c>
      <c r="K89" s="35">
        <v>-1</v>
      </c>
      <c r="L89" s="35">
        <v>-1</v>
      </c>
      <c r="M89" s="35">
        <v>-1</v>
      </c>
      <c r="N89" s="35">
        <v>-1</v>
      </c>
      <c r="O89" s="35">
        <v>-1</v>
      </c>
      <c r="P89" s="35">
        <v>-1</v>
      </c>
      <c r="Q89" s="35">
        <v>-1</v>
      </c>
      <c r="S89" s="5" t="str">
        <f>IF(_xlfn.XLOOKUP(StatTbl[[#This Row],[Join]],TargetSlots[Join],TargetSlots[Join],"Не найдено")&lt;&gt;"Не найдено","Ищем","Не ищем")</f>
        <v>Не ищем</v>
      </c>
      <c r="T89" s="4" t="str">
        <f ca="1">IF(COUNTIFS(OFFSET(D89:$Q89,0,SearchDay-1,,15-SearchDay),"&lt;="&amp; ValidC,OFFSET(D89:$Q89,0,SearchDay-1,,15-SearchDay),"&gt;-1")&gt;0,"Есть слот!","Ничего")</f>
        <v>Ничего</v>
      </c>
      <c r="U89">
        <f ca="1">IF(S89="Ищем",IF(StatTbl[[#This Row],[Доступность]]="Есть слот!",COUNTIFS(OFFSET(D89:$Q89,0,SearchDay-1),"&lt;="&amp; ValidC,OFFSET(D89:$Q89,0,SearchDay-1),"&gt;-1"),0),0)</f>
        <v>0</v>
      </c>
      <c r="V89" t="str" cm="1">
        <f t="array" aca="1" ref="V89" ca="1">IF(StatTbl[[#This Row],[Кол-во слотов]]&gt;0, B89&amp;" "&amp;C89&amp;" "&amp;_xlfn.TEXTJOIN(", ",FALSE,TEXT(_xlfn._xlws.FILTER(OFFSET($D$8:$Q$8,0,SearchDay-1,,15-SearchDay),(OFFSET(D89:Q89,0,SearchDay-1,,15-SearchDay)&gt;-1)*(OFFSET(D89:Q89,0,SearchDay-1,,15-SearchDay)&lt;=ValidC)),"ДД/ММ")),"")</f>
        <v/>
      </c>
      <c r="W89" t="str">
        <f t="shared" si="1"/>
        <v>Подольск 3Короба</v>
      </c>
      <c r="Y89" s="10"/>
      <c r="Z89" s="10"/>
      <c r="AA89" s="10"/>
      <c r="AB89" s="10"/>
    </row>
    <row r="90" spans="2:28" x14ac:dyDescent="0.45">
      <c r="B90" s="12" t="s">
        <v>26</v>
      </c>
      <c r="C90" s="12" t="s">
        <v>110</v>
      </c>
      <c r="D90" s="35">
        <v>-1</v>
      </c>
      <c r="E90" s="35">
        <v>-1</v>
      </c>
      <c r="F90" s="35">
        <v>-1</v>
      </c>
      <c r="G90" s="35">
        <v>-1</v>
      </c>
      <c r="H90" s="35">
        <v>-1</v>
      </c>
      <c r="I90" s="35">
        <v>-1</v>
      </c>
      <c r="J90" s="35">
        <v>-1</v>
      </c>
      <c r="K90" s="35">
        <v>-1</v>
      </c>
      <c r="L90" s="35">
        <v>-1</v>
      </c>
      <c r="M90" s="35">
        <v>-1</v>
      </c>
      <c r="N90" s="35">
        <v>-1</v>
      </c>
      <c r="O90" s="35">
        <v>-1</v>
      </c>
      <c r="P90" s="35">
        <v>-1</v>
      </c>
      <c r="Q90" s="35">
        <v>-1</v>
      </c>
      <c r="S90" s="5" t="str">
        <f>IF(_xlfn.XLOOKUP(StatTbl[[#This Row],[Join]],TargetSlots[Join],TargetSlots[Join],"Не найдено")&lt;&gt;"Не найдено","Ищем","Не ищем")</f>
        <v>Не ищем</v>
      </c>
      <c r="T90" s="4" t="str">
        <f ca="1">IF(COUNTIFS(OFFSET(D90:$Q90,0,SearchDay-1,,15-SearchDay),"&lt;="&amp; ValidC,OFFSET(D90:$Q90,0,SearchDay-1,,15-SearchDay),"&gt;-1")&gt;0,"Есть слот!","Ничего")</f>
        <v>Ничего</v>
      </c>
      <c r="U90">
        <f ca="1">IF(S90="Ищем",IF(StatTbl[[#This Row],[Доступность]]="Есть слот!",COUNTIFS(OFFSET(D90:$Q90,0,SearchDay-1),"&lt;="&amp; ValidC,OFFSET(D90:$Q90,0,SearchDay-1),"&gt;-1"),0),0)</f>
        <v>0</v>
      </c>
      <c r="V90" t="str" cm="1">
        <f t="array" aca="1" ref="V90" ca="1">IF(StatTbl[[#This Row],[Кол-во слотов]]&gt;0, B90&amp;" "&amp;C90&amp;" "&amp;_xlfn.TEXTJOIN(", ",FALSE,TEXT(_xlfn._xlws.FILTER(OFFSET($D$8:$Q$8,0,SearchDay-1,,15-SearchDay),(OFFSET(D90:Q90,0,SearchDay-1,,15-SearchDay)&gt;-1)*(OFFSET(D90:Q90,0,SearchDay-1,,15-SearchDay)&lt;=ValidC)),"ДД/ММ")),"")</f>
        <v/>
      </c>
      <c r="W90" t="str">
        <f t="shared" si="1"/>
        <v>Подольск 3Монопаллеты</v>
      </c>
      <c r="Y90" s="10"/>
      <c r="Z90" s="10"/>
      <c r="AA90" s="10"/>
      <c r="AB90" s="10"/>
    </row>
    <row r="91" spans="2:28" x14ac:dyDescent="0.45">
      <c r="B91" s="12" t="s">
        <v>26</v>
      </c>
      <c r="C91" s="12" t="s">
        <v>6</v>
      </c>
      <c r="D91" s="35">
        <v>-1</v>
      </c>
      <c r="E91" s="35">
        <v>-1</v>
      </c>
      <c r="F91" s="35">
        <v>-1</v>
      </c>
      <c r="G91" s="35">
        <v>-1</v>
      </c>
      <c r="H91" s="35">
        <v>-1</v>
      </c>
      <c r="I91" s="35">
        <v>-1</v>
      </c>
      <c r="J91" s="35">
        <v>-1</v>
      </c>
      <c r="K91" s="35">
        <v>-1</v>
      </c>
      <c r="L91" s="35">
        <v>-1</v>
      </c>
      <c r="M91" s="35">
        <v>-1</v>
      </c>
      <c r="N91" s="35">
        <v>-1</v>
      </c>
      <c r="O91" s="35">
        <v>-1</v>
      </c>
      <c r="P91" s="35">
        <v>-1</v>
      </c>
      <c r="Q91" s="35">
        <v>-1</v>
      </c>
      <c r="S91" s="5" t="str">
        <f>IF(_xlfn.XLOOKUP(StatTbl[[#This Row],[Join]],TargetSlots[Join],TargetSlots[Join],"Не найдено")&lt;&gt;"Не найдено","Ищем","Не ищем")</f>
        <v>Не ищем</v>
      </c>
      <c r="T91" s="4" t="str">
        <f ca="1">IF(COUNTIFS(OFFSET(D91:$Q91,0,SearchDay-1,,15-SearchDay),"&lt;="&amp; ValidC,OFFSET(D91:$Q91,0,SearchDay-1,,15-SearchDay),"&gt;-1")&gt;0,"Есть слот!","Ничего")</f>
        <v>Ничего</v>
      </c>
      <c r="U91">
        <f ca="1">IF(S91="Ищем",IF(StatTbl[[#This Row],[Доступность]]="Есть слот!",COUNTIFS(OFFSET(D91:$Q91,0,SearchDay-1),"&lt;="&amp; ValidC,OFFSET(D91:$Q91,0,SearchDay-1),"&gt;-1"),0),0)</f>
        <v>0</v>
      </c>
      <c r="V91" t="str" cm="1">
        <f t="array" aca="1" ref="V91" ca="1">IF(StatTbl[[#This Row],[Кол-во слотов]]&gt;0, B91&amp;" "&amp;C91&amp;" "&amp;_xlfn.TEXTJOIN(", ",FALSE,TEXT(_xlfn._xlws.FILTER(OFFSET($D$8:$Q$8,0,SearchDay-1,,15-SearchDay),(OFFSET(D91:Q91,0,SearchDay-1,,15-SearchDay)&gt;-1)*(OFFSET(D91:Q91,0,SearchDay-1,,15-SearchDay)&lt;=ValidC)),"ДД/ММ")),"")</f>
        <v/>
      </c>
      <c r="W91" t="str">
        <f t="shared" si="1"/>
        <v>Подольск 3Суперсейф</v>
      </c>
      <c r="Y91" s="10"/>
      <c r="Z91" s="10"/>
      <c r="AA91" s="10"/>
      <c r="AB91" s="10"/>
    </row>
    <row r="92" spans="2:28" x14ac:dyDescent="0.45">
      <c r="B92" s="12" t="s">
        <v>26</v>
      </c>
      <c r="C92" s="12" t="s">
        <v>111</v>
      </c>
      <c r="D92" s="35">
        <v>-1</v>
      </c>
      <c r="E92" s="35">
        <v>-1</v>
      </c>
      <c r="F92" s="35">
        <v>-1</v>
      </c>
      <c r="G92" s="35">
        <v>-1</v>
      </c>
      <c r="H92" s="35">
        <v>-1</v>
      </c>
      <c r="I92" s="35">
        <v>-1</v>
      </c>
      <c r="J92" s="35">
        <v>-1</v>
      </c>
      <c r="K92" s="35">
        <v>-1</v>
      </c>
      <c r="L92" s="35">
        <v>-1</v>
      </c>
      <c r="M92" s="35">
        <v>-1</v>
      </c>
      <c r="N92" s="35">
        <v>-1</v>
      </c>
      <c r="O92" s="35">
        <v>-1</v>
      </c>
      <c r="P92" s="35">
        <v>-1</v>
      </c>
      <c r="Q92" s="35">
        <v>-1</v>
      </c>
      <c r="S92" s="5" t="str">
        <f>IF(_xlfn.XLOOKUP(StatTbl[[#This Row],[Join]],TargetSlots[Join],TargetSlots[Join],"Не найдено")&lt;&gt;"Не найдено","Ищем","Не ищем")</f>
        <v>Не ищем</v>
      </c>
      <c r="T92" s="4" t="str">
        <f ca="1">IF(COUNTIFS(OFFSET(D92:$Q92,0,SearchDay-1,,15-SearchDay),"&lt;="&amp; ValidC,OFFSET(D92:$Q92,0,SearchDay-1,,15-SearchDay),"&gt;-1")&gt;0,"Есть слот!","Ничего")</f>
        <v>Ничего</v>
      </c>
      <c r="U92">
        <f ca="1">IF(S92="Ищем",IF(StatTbl[[#This Row],[Доступность]]="Есть слот!",COUNTIFS(OFFSET(D92:$Q92,0,SearchDay-1),"&lt;="&amp; ValidC,OFFSET(D92:$Q92,0,SearchDay-1),"&gt;-1"),0),0)</f>
        <v>0</v>
      </c>
      <c r="V92" t="str" cm="1">
        <f t="array" aca="1" ref="V92" ca="1">IF(StatTbl[[#This Row],[Кол-во слотов]]&gt;0, B92&amp;" "&amp;C92&amp;" "&amp;_xlfn.TEXTJOIN(", ",FALSE,TEXT(_xlfn._xlws.FILTER(OFFSET($D$8:$Q$8,0,SearchDay-1,,15-SearchDay),(OFFSET(D92:Q92,0,SearchDay-1,,15-SearchDay)&gt;-1)*(OFFSET(D92:Q92,0,SearchDay-1,,15-SearchDay)&lt;=ValidC)),"ДД/ММ")),"")</f>
        <v/>
      </c>
      <c r="W92" t="str">
        <f t="shared" si="1"/>
        <v>Подольск 3QR-поставка</v>
      </c>
      <c r="Y92" s="10"/>
      <c r="Z92" s="10"/>
      <c r="AA92" s="10"/>
      <c r="AB92" s="10"/>
    </row>
    <row r="93" spans="2:28" x14ac:dyDescent="0.45">
      <c r="B93" s="12" t="s">
        <v>27</v>
      </c>
      <c r="C93" s="12" t="s">
        <v>109</v>
      </c>
      <c r="D93" s="35">
        <v>-1</v>
      </c>
      <c r="E93" s="35">
        <v>-1</v>
      </c>
      <c r="F93" s="35">
        <v>-1</v>
      </c>
      <c r="G93" s="35">
        <v>-1</v>
      </c>
      <c r="H93" s="35">
        <v>-1</v>
      </c>
      <c r="I93" s="35">
        <v>-1</v>
      </c>
      <c r="J93" s="35">
        <v>-1</v>
      </c>
      <c r="K93" s="35">
        <v>-1</v>
      </c>
      <c r="L93" s="35">
        <v>-1</v>
      </c>
      <c r="M93" s="35">
        <v>-1</v>
      </c>
      <c r="N93" s="35">
        <v>-1</v>
      </c>
      <c r="O93" s="35">
        <v>-1</v>
      </c>
      <c r="P93" s="35">
        <v>-1</v>
      </c>
      <c r="Q93" s="35">
        <v>-1</v>
      </c>
      <c r="S93" s="5" t="str">
        <f>IF(_xlfn.XLOOKUP(StatTbl[[#This Row],[Join]],TargetSlots[Join],TargetSlots[Join],"Не найдено")&lt;&gt;"Не найдено","Ищем","Не ищем")</f>
        <v>Не ищем</v>
      </c>
      <c r="T93" s="4" t="str">
        <f ca="1">IF(COUNTIFS(OFFSET(D93:$Q93,0,SearchDay-1,,15-SearchDay),"&lt;="&amp; ValidC,OFFSET(D93:$Q93,0,SearchDay-1,,15-SearchDay),"&gt;-1")&gt;0,"Есть слот!","Ничего")</f>
        <v>Ничего</v>
      </c>
      <c r="U93">
        <f ca="1">IF(S93="Ищем",IF(StatTbl[[#This Row],[Доступность]]="Есть слот!",COUNTIFS(OFFSET(D93:$Q93,0,SearchDay-1),"&lt;="&amp; ValidC,OFFSET(D93:$Q93,0,SearchDay-1),"&gt;-1"),0),0)</f>
        <v>0</v>
      </c>
      <c r="V93" t="str" cm="1">
        <f t="array" aca="1" ref="V93" ca="1">IF(StatTbl[[#This Row],[Кол-во слотов]]&gt;0, B93&amp;" "&amp;C93&amp;" "&amp;_xlfn.TEXTJOIN(", ",FALSE,TEXT(_xlfn._xlws.FILTER(OFFSET($D$8:$Q$8,0,SearchDay-1,,15-SearchDay),(OFFSET(D93:Q93,0,SearchDay-1,,15-SearchDay)&gt;-1)*(OFFSET(D93:Q93,0,SearchDay-1,,15-SearchDay)&lt;=ValidC)),"ДД/ММ")),"")</f>
        <v/>
      </c>
      <c r="W93" t="str">
        <f t="shared" si="1"/>
        <v>Подольск 4Короба</v>
      </c>
      <c r="Y93" s="10"/>
      <c r="Z93" s="10"/>
      <c r="AA93" s="10"/>
      <c r="AB93" s="10"/>
    </row>
    <row r="94" spans="2:28" x14ac:dyDescent="0.45">
      <c r="B94" s="12" t="s">
        <v>27</v>
      </c>
      <c r="C94" s="12" t="s">
        <v>110</v>
      </c>
      <c r="D94" s="35">
        <v>-1</v>
      </c>
      <c r="E94" s="35">
        <v>-1</v>
      </c>
      <c r="F94" s="35">
        <v>-1</v>
      </c>
      <c r="G94" s="35">
        <v>-1</v>
      </c>
      <c r="H94" s="35">
        <v>-1</v>
      </c>
      <c r="I94" s="35">
        <v>-1</v>
      </c>
      <c r="J94" s="35">
        <v>-1</v>
      </c>
      <c r="K94" s="35">
        <v>-1</v>
      </c>
      <c r="L94" s="35">
        <v>-1</v>
      </c>
      <c r="M94" s="35">
        <v>-1</v>
      </c>
      <c r="N94" s="35">
        <v>-1</v>
      </c>
      <c r="O94" s="35">
        <v>-1</v>
      </c>
      <c r="P94" s="35">
        <v>-1</v>
      </c>
      <c r="Q94" s="35">
        <v>-1</v>
      </c>
      <c r="S94" s="5" t="str">
        <f>IF(_xlfn.XLOOKUP(StatTbl[[#This Row],[Join]],TargetSlots[Join],TargetSlots[Join],"Не найдено")&lt;&gt;"Не найдено","Ищем","Не ищем")</f>
        <v>Не ищем</v>
      </c>
      <c r="T94" s="4" t="str">
        <f ca="1">IF(COUNTIFS(OFFSET(D94:$Q94,0,SearchDay-1,,15-SearchDay),"&lt;="&amp; ValidC,OFFSET(D94:$Q94,0,SearchDay-1,,15-SearchDay),"&gt;-1")&gt;0,"Есть слот!","Ничего")</f>
        <v>Ничего</v>
      </c>
      <c r="U94">
        <f ca="1">IF(S94="Ищем",IF(StatTbl[[#This Row],[Доступность]]="Есть слот!",COUNTIFS(OFFSET(D94:$Q94,0,SearchDay-1),"&lt;="&amp; ValidC,OFFSET(D94:$Q94,0,SearchDay-1),"&gt;-1"),0),0)</f>
        <v>0</v>
      </c>
      <c r="V94" t="str" cm="1">
        <f t="array" aca="1" ref="V94" ca="1">IF(StatTbl[[#This Row],[Кол-во слотов]]&gt;0, B94&amp;" "&amp;C94&amp;" "&amp;_xlfn.TEXTJOIN(", ",FALSE,TEXT(_xlfn._xlws.FILTER(OFFSET($D$8:$Q$8,0,SearchDay-1,,15-SearchDay),(OFFSET(D94:Q94,0,SearchDay-1,,15-SearchDay)&gt;-1)*(OFFSET(D94:Q94,0,SearchDay-1,,15-SearchDay)&lt;=ValidC)),"ДД/ММ")),"")</f>
        <v/>
      </c>
      <c r="W94" t="str">
        <f t="shared" si="1"/>
        <v>Подольск 4Монопаллеты</v>
      </c>
      <c r="Y94" s="10"/>
      <c r="Z94" s="10"/>
      <c r="AA94" s="10"/>
      <c r="AB94" s="10"/>
    </row>
    <row r="95" spans="2:28" x14ac:dyDescent="0.45">
      <c r="B95" s="12" t="s">
        <v>27</v>
      </c>
      <c r="C95" s="12" t="s">
        <v>6</v>
      </c>
      <c r="D95" s="35">
        <v>-1</v>
      </c>
      <c r="E95" s="35">
        <v>-1</v>
      </c>
      <c r="F95" s="35">
        <v>-1</v>
      </c>
      <c r="G95" s="35">
        <v>-1</v>
      </c>
      <c r="H95" s="35">
        <v>-1</v>
      </c>
      <c r="I95" s="35">
        <v>-1</v>
      </c>
      <c r="J95" s="35">
        <v>-1</v>
      </c>
      <c r="K95" s="35">
        <v>-1</v>
      </c>
      <c r="L95" s="35">
        <v>-1</v>
      </c>
      <c r="M95" s="35">
        <v>-1</v>
      </c>
      <c r="N95" s="35">
        <v>-1</v>
      </c>
      <c r="O95" s="35">
        <v>-1</v>
      </c>
      <c r="P95" s="35">
        <v>-1</v>
      </c>
      <c r="Q95" s="35">
        <v>-1</v>
      </c>
      <c r="S95" s="5" t="str">
        <f>IF(_xlfn.XLOOKUP(StatTbl[[#This Row],[Join]],TargetSlots[Join],TargetSlots[Join],"Не найдено")&lt;&gt;"Не найдено","Ищем","Не ищем")</f>
        <v>Не ищем</v>
      </c>
      <c r="T95" s="4" t="str">
        <f ca="1">IF(COUNTIFS(OFFSET(D95:$Q95,0,SearchDay-1,,15-SearchDay),"&lt;="&amp; ValidC,OFFSET(D95:$Q95,0,SearchDay-1,,15-SearchDay),"&gt;-1")&gt;0,"Есть слот!","Ничего")</f>
        <v>Ничего</v>
      </c>
      <c r="U95">
        <f ca="1">IF(S95="Ищем",IF(StatTbl[[#This Row],[Доступность]]="Есть слот!",COUNTIFS(OFFSET(D95:$Q95,0,SearchDay-1),"&lt;="&amp; ValidC,OFFSET(D95:$Q95,0,SearchDay-1),"&gt;-1"),0),0)</f>
        <v>0</v>
      </c>
      <c r="V95" t="str" cm="1">
        <f t="array" aca="1" ref="V95" ca="1">IF(StatTbl[[#This Row],[Кол-во слотов]]&gt;0, B95&amp;" "&amp;C95&amp;" "&amp;_xlfn.TEXTJOIN(", ",FALSE,TEXT(_xlfn._xlws.FILTER(OFFSET($D$8:$Q$8,0,SearchDay-1,,15-SearchDay),(OFFSET(D95:Q95,0,SearchDay-1,,15-SearchDay)&gt;-1)*(OFFSET(D95:Q95,0,SearchDay-1,,15-SearchDay)&lt;=ValidC)),"ДД/ММ")),"")</f>
        <v/>
      </c>
      <c r="W95" t="str">
        <f t="shared" si="1"/>
        <v>Подольск 4Суперсейф</v>
      </c>
      <c r="Y95" s="10"/>
      <c r="Z95" s="10"/>
      <c r="AA95" s="10"/>
      <c r="AB95" s="10"/>
    </row>
    <row r="96" spans="2:28" x14ac:dyDescent="0.45">
      <c r="B96" s="12" t="s">
        <v>27</v>
      </c>
      <c r="C96" s="12" t="s">
        <v>111</v>
      </c>
      <c r="D96" s="35">
        <v>-1</v>
      </c>
      <c r="E96" s="35">
        <v>-1</v>
      </c>
      <c r="F96" s="35">
        <v>-1</v>
      </c>
      <c r="G96" s="35">
        <v>-1</v>
      </c>
      <c r="H96" s="35">
        <v>-1</v>
      </c>
      <c r="I96" s="35">
        <v>-1</v>
      </c>
      <c r="J96" s="35">
        <v>-1</v>
      </c>
      <c r="K96" s="35">
        <v>-1</v>
      </c>
      <c r="L96" s="35">
        <v>-1</v>
      </c>
      <c r="M96" s="35">
        <v>-1</v>
      </c>
      <c r="N96" s="35">
        <v>-1</v>
      </c>
      <c r="O96" s="35">
        <v>-1</v>
      </c>
      <c r="P96" s="35">
        <v>-1</v>
      </c>
      <c r="Q96" s="35">
        <v>-1</v>
      </c>
      <c r="S96" s="5" t="str">
        <f>IF(_xlfn.XLOOKUP(StatTbl[[#This Row],[Join]],TargetSlots[Join],TargetSlots[Join],"Не найдено")&lt;&gt;"Не найдено","Ищем","Не ищем")</f>
        <v>Не ищем</v>
      </c>
      <c r="T96" s="4" t="str">
        <f ca="1">IF(COUNTIFS(OFFSET(D96:$Q96,0,SearchDay-1,,15-SearchDay),"&lt;="&amp; ValidC,OFFSET(D96:$Q96,0,SearchDay-1,,15-SearchDay),"&gt;-1")&gt;0,"Есть слот!","Ничего")</f>
        <v>Ничего</v>
      </c>
      <c r="U96">
        <f ca="1">IF(S96="Ищем",IF(StatTbl[[#This Row],[Доступность]]="Есть слот!",COUNTIFS(OFFSET(D96:$Q96,0,SearchDay-1),"&lt;="&amp; ValidC,OFFSET(D96:$Q96,0,SearchDay-1),"&gt;-1"),0),0)</f>
        <v>0</v>
      </c>
      <c r="V96" t="str" cm="1">
        <f t="array" aca="1" ref="V96" ca="1">IF(StatTbl[[#This Row],[Кол-во слотов]]&gt;0, B96&amp;" "&amp;C96&amp;" "&amp;_xlfn.TEXTJOIN(", ",FALSE,TEXT(_xlfn._xlws.FILTER(OFFSET($D$8:$Q$8,0,SearchDay-1,,15-SearchDay),(OFFSET(D96:Q96,0,SearchDay-1,,15-SearchDay)&gt;-1)*(OFFSET(D96:Q96,0,SearchDay-1,,15-SearchDay)&lt;=ValidC)),"ДД/ММ")),"")</f>
        <v/>
      </c>
      <c r="W96" t="str">
        <f t="shared" si="1"/>
        <v>Подольск 4QR-поставка</v>
      </c>
      <c r="Y96" s="10"/>
      <c r="Z96" s="10"/>
      <c r="AA96" s="10"/>
      <c r="AB96" s="10"/>
    </row>
    <row r="97" spans="2:28" x14ac:dyDescent="0.45">
      <c r="B97" s="12" t="s">
        <v>28</v>
      </c>
      <c r="C97" s="12" t="s">
        <v>109</v>
      </c>
      <c r="D97" s="35">
        <v>-1</v>
      </c>
      <c r="E97" s="35">
        <v>-1</v>
      </c>
      <c r="F97" s="35">
        <v>-1</v>
      </c>
      <c r="G97" s="35">
        <v>-1</v>
      </c>
      <c r="H97" s="35">
        <v>-1</v>
      </c>
      <c r="I97" s="35">
        <v>-1</v>
      </c>
      <c r="J97" s="35">
        <v>-1</v>
      </c>
      <c r="K97" s="35">
        <v>-1</v>
      </c>
      <c r="L97" s="35">
        <v>-1</v>
      </c>
      <c r="M97" s="35">
        <v>-1</v>
      </c>
      <c r="N97" s="35">
        <v>-1</v>
      </c>
      <c r="O97" s="35">
        <v>-1</v>
      </c>
      <c r="P97" s="35">
        <v>-1</v>
      </c>
      <c r="Q97" s="35">
        <v>-1</v>
      </c>
      <c r="S97" s="5" t="str">
        <f>IF(_xlfn.XLOOKUP(StatTbl[[#This Row],[Join]],TargetSlots[Join],TargetSlots[Join],"Не найдено")&lt;&gt;"Не найдено","Ищем","Не ищем")</f>
        <v>Не ищем</v>
      </c>
      <c r="T97" s="4" t="str">
        <f ca="1">IF(COUNTIFS(OFFSET(D97:$Q97,0,SearchDay-1,,15-SearchDay),"&lt;="&amp; ValidC,OFFSET(D97:$Q97,0,SearchDay-1,,15-SearchDay),"&gt;-1")&gt;0,"Есть слот!","Ничего")</f>
        <v>Ничего</v>
      </c>
      <c r="U97">
        <f ca="1">IF(S97="Ищем",IF(StatTbl[[#This Row],[Доступность]]="Есть слот!",COUNTIFS(OFFSET(D97:$Q97,0,SearchDay-1),"&lt;="&amp; ValidC,OFFSET(D97:$Q97,0,SearchDay-1),"&gt;-1"),0),0)</f>
        <v>0</v>
      </c>
      <c r="V97" t="str" cm="1">
        <f t="array" aca="1" ref="V97" ca="1">IF(StatTbl[[#This Row],[Кол-во слотов]]&gt;0, B97&amp;" "&amp;C97&amp;" "&amp;_xlfn.TEXTJOIN(", ",FALSE,TEXT(_xlfn._xlws.FILTER(OFFSET($D$8:$Q$8,0,SearchDay-1,,15-SearchDay),(OFFSET(D97:Q97,0,SearchDay-1,,15-SearchDay)&gt;-1)*(OFFSET(D97:Q97,0,SearchDay-1,,15-SearchDay)&lt;=ValidC)),"ДД/ММ")),"")</f>
        <v/>
      </c>
      <c r="W97" t="str">
        <f t="shared" si="1"/>
        <v>Радумля СГТКороба</v>
      </c>
      <c r="Y97" s="10"/>
      <c r="Z97" s="10"/>
      <c r="AA97" s="10"/>
      <c r="AB97" s="10"/>
    </row>
    <row r="98" spans="2:28" x14ac:dyDescent="0.45">
      <c r="B98" s="12" t="s">
        <v>28</v>
      </c>
      <c r="C98" s="12" t="s">
        <v>110</v>
      </c>
      <c r="D98" s="35">
        <v>-1</v>
      </c>
      <c r="E98" s="35">
        <v>-1</v>
      </c>
      <c r="F98" s="35">
        <v>-1</v>
      </c>
      <c r="G98" s="35">
        <v>-1</v>
      </c>
      <c r="H98" s="35">
        <v>-1</v>
      </c>
      <c r="I98" s="35">
        <v>-1</v>
      </c>
      <c r="J98" s="35">
        <v>-1</v>
      </c>
      <c r="K98" s="35">
        <v>-1</v>
      </c>
      <c r="L98" s="35">
        <v>-1</v>
      </c>
      <c r="M98" s="35">
        <v>-1</v>
      </c>
      <c r="N98" s="35">
        <v>-1</v>
      </c>
      <c r="O98" s="35">
        <v>-1</v>
      </c>
      <c r="P98" s="35">
        <v>-1</v>
      </c>
      <c r="Q98" s="35">
        <v>-1</v>
      </c>
      <c r="S98" s="5" t="str">
        <f>IF(_xlfn.XLOOKUP(StatTbl[[#This Row],[Join]],TargetSlots[Join],TargetSlots[Join],"Не найдено")&lt;&gt;"Не найдено","Ищем","Не ищем")</f>
        <v>Не ищем</v>
      </c>
      <c r="T98" s="4" t="str">
        <f ca="1">IF(COUNTIFS(OFFSET(D98:$Q98,0,SearchDay-1,,15-SearchDay),"&lt;="&amp; ValidC,OFFSET(D98:$Q98,0,SearchDay-1,,15-SearchDay),"&gt;-1")&gt;0,"Есть слот!","Ничего")</f>
        <v>Ничего</v>
      </c>
      <c r="U98">
        <f ca="1">IF(S98="Ищем",IF(StatTbl[[#This Row],[Доступность]]="Есть слот!",COUNTIFS(OFFSET(D98:$Q98,0,SearchDay-1),"&lt;="&amp; ValidC,OFFSET(D98:$Q98,0,SearchDay-1),"&gt;-1"),0),0)</f>
        <v>0</v>
      </c>
      <c r="V98" t="str" cm="1">
        <f t="array" aca="1" ref="V98" ca="1">IF(StatTbl[[#This Row],[Кол-во слотов]]&gt;0, B98&amp;" "&amp;C98&amp;" "&amp;_xlfn.TEXTJOIN(", ",FALSE,TEXT(_xlfn._xlws.FILTER(OFFSET($D$8:$Q$8,0,SearchDay-1,,15-SearchDay),(OFFSET(D98:Q98,0,SearchDay-1,,15-SearchDay)&gt;-1)*(OFFSET(D98:Q98,0,SearchDay-1,,15-SearchDay)&lt;=ValidC)),"ДД/ММ")),"")</f>
        <v/>
      </c>
      <c r="W98" t="str">
        <f t="shared" si="1"/>
        <v>Радумля СГТМонопаллеты</v>
      </c>
      <c r="Y98" s="10"/>
      <c r="Z98" s="10"/>
      <c r="AA98" s="10"/>
      <c r="AB98" s="10"/>
    </row>
    <row r="99" spans="2:28" x14ac:dyDescent="0.45">
      <c r="B99" s="12" t="s">
        <v>28</v>
      </c>
      <c r="C99" s="12" t="s">
        <v>6</v>
      </c>
      <c r="D99" s="35">
        <v>-1</v>
      </c>
      <c r="E99" s="35">
        <v>-1</v>
      </c>
      <c r="F99" s="35">
        <v>-1</v>
      </c>
      <c r="G99" s="35">
        <v>-1</v>
      </c>
      <c r="H99" s="35">
        <v>-1</v>
      </c>
      <c r="I99" s="35">
        <v>-1</v>
      </c>
      <c r="J99" s="35">
        <v>-1</v>
      </c>
      <c r="K99" s="35">
        <v>-1</v>
      </c>
      <c r="L99" s="35">
        <v>-1</v>
      </c>
      <c r="M99" s="35">
        <v>-1</v>
      </c>
      <c r="N99" s="35">
        <v>-1</v>
      </c>
      <c r="O99" s="35">
        <v>-1</v>
      </c>
      <c r="P99" s="35">
        <v>-1</v>
      </c>
      <c r="Q99" s="35">
        <v>-1</v>
      </c>
      <c r="S99" s="5" t="str">
        <f>IF(_xlfn.XLOOKUP(StatTbl[[#This Row],[Join]],TargetSlots[Join],TargetSlots[Join],"Не найдено")&lt;&gt;"Не найдено","Ищем","Не ищем")</f>
        <v>Не ищем</v>
      </c>
      <c r="T99" s="4" t="str">
        <f ca="1">IF(COUNTIFS(OFFSET(D99:$Q99,0,SearchDay-1,,15-SearchDay),"&lt;="&amp; ValidC,OFFSET(D99:$Q99,0,SearchDay-1,,15-SearchDay),"&gt;-1")&gt;0,"Есть слот!","Ничего")</f>
        <v>Ничего</v>
      </c>
      <c r="U99">
        <f ca="1">IF(S99="Ищем",IF(StatTbl[[#This Row],[Доступность]]="Есть слот!",COUNTIFS(OFFSET(D99:$Q99,0,SearchDay-1),"&lt;="&amp; ValidC,OFFSET(D99:$Q99,0,SearchDay-1),"&gt;-1"),0),0)</f>
        <v>0</v>
      </c>
      <c r="V99" t="str" cm="1">
        <f t="array" aca="1" ref="V99" ca="1">IF(StatTbl[[#This Row],[Кол-во слотов]]&gt;0, B99&amp;" "&amp;C99&amp;" "&amp;_xlfn.TEXTJOIN(", ",FALSE,TEXT(_xlfn._xlws.FILTER(OFFSET($D$8:$Q$8,0,SearchDay-1,,15-SearchDay),(OFFSET(D99:Q99,0,SearchDay-1,,15-SearchDay)&gt;-1)*(OFFSET(D99:Q99,0,SearchDay-1,,15-SearchDay)&lt;=ValidC)),"ДД/ММ")),"")</f>
        <v/>
      </c>
      <c r="W99" t="str">
        <f t="shared" si="1"/>
        <v>Радумля СГТСуперсейф</v>
      </c>
      <c r="Y99" s="10"/>
      <c r="Z99" s="10"/>
      <c r="AA99" s="10"/>
      <c r="AB99" s="10"/>
    </row>
    <row r="100" spans="2:28" x14ac:dyDescent="0.45">
      <c r="B100" s="12" t="s">
        <v>28</v>
      </c>
      <c r="C100" s="12" t="s">
        <v>111</v>
      </c>
      <c r="D100" s="35">
        <v>-1</v>
      </c>
      <c r="E100" s="35">
        <v>-1</v>
      </c>
      <c r="F100" s="35">
        <v>-1</v>
      </c>
      <c r="G100" s="35">
        <v>-1</v>
      </c>
      <c r="H100" s="35">
        <v>-1</v>
      </c>
      <c r="I100" s="35">
        <v>-1</v>
      </c>
      <c r="J100" s="35">
        <v>-1</v>
      </c>
      <c r="K100" s="35">
        <v>-1</v>
      </c>
      <c r="L100" s="35">
        <v>-1</v>
      </c>
      <c r="M100" s="35">
        <v>-1</v>
      </c>
      <c r="N100" s="35">
        <v>-1</v>
      </c>
      <c r="O100" s="35">
        <v>-1</v>
      </c>
      <c r="P100" s="35">
        <v>-1</v>
      </c>
      <c r="Q100" s="35">
        <v>-1</v>
      </c>
      <c r="S100" s="5" t="str">
        <f>IF(_xlfn.XLOOKUP(StatTbl[[#This Row],[Join]],TargetSlots[Join],TargetSlots[Join],"Не найдено")&lt;&gt;"Не найдено","Ищем","Не ищем")</f>
        <v>Не ищем</v>
      </c>
      <c r="T100" s="4" t="str">
        <f ca="1">IF(COUNTIFS(OFFSET(D100:$Q100,0,SearchDay-1,,15-SearchDay),"&lt;="&amp; ValidC,OFFSET(D100:$Q100,0,SearchDay-1,,15-SearchDay),"&gt;-1")&gt;0,"Есть слот!","Ничего")</f>
        <v>Ничего</v>
      </c>
      <c r="U100">
        <f ca="1">IF(S100="Ищем",IF(StatTbl[[#This Row],[Доступность]]="Есть слот!",COUNTIFS(OFFSET(D100:$Q100,0,SearchDay-1),"&lt;="&amp; ValidC,OFFSET(D100:$Q100,0,SearchDay-1),"&gt;-1"),0),0)</f>
        <v>0</v>
      </c>
      <c r="V100" t="str" cm="1">
        <f t="array" aca="1" ref="V100" ca="1">IF(StatTbl[[#This Row],[Кол-во слотов]]&gt;0, B100&amp;" "&amp;C100&amp;" "&amp;_xlfn.TEXTJOIN(", ",FALSE,TEXT(_xlfn._xlws.FILTER(OFFSET($D$8:$Q$8,0,SearchDay-1,,15-SearchDay),(OFFSET(D100:Q100,0,SearchDay-1,,15-SearchDay)&gt;-1)*(OFFSET(D100:Q100,0,SearchDay-1,,15-SearchDay)&lt;=ValidC)),"ДД/ММ")),"")</f>
        <v/>
      </c>
      <c r="W100" t="str">
        <f t="shared" si="1"/>
        <v>Радумля СГТQR-поставка</v>
      </c>
      <c r="Y100" s="10"/>
      <c r="Z100" s="10"/>
      <c r="AA100" s="10"/>
      <c r="AB100" s="10"/>
    </row>
    <row r="101" spans="2:28" x14ac:dyDescent="0.45">
      <c r="B101" s="12" t="s">
        <v>29</v>
      </c>
      <c r="C101" s="12" t="s">
        <v>109</v>
      </c>
      <c r="D101" s="35">
        <v>-1</v>
      </c>
      <c r="E101" s="35">
        <v>-1</v>
      </c>
      <c r="F101" s="35">
        <v>-1</v>
      </c>
      <c r="G101" s="35">
        <v>-1</v>
      </c>
      <c r="H101" s="35">
        <v>-1</v>
      </c>
      <c r="I101" s="35">
        <v>-1</v>
      </c>
      <c r="J101" s="35">
        <v>-1</v>
      </c>
      <c r="K101" s="35">
        <v>-1</v>
      </c>
      <c r="L101" s="35">
        <v>-1</v>
      </c>
      <c r="M101" s="35">
        <v>-1</v>
      </c>
      <c r="N101" s="35">
        <v>-1</v>
      </c>
      <c r="O101" s="35">
        <v>-1</v>
      </c>
      <c r="P101" s="35">
        <v>-1</v>
      </c>
      <c r="Q101" s="35">
        <v>-1</v>
      </c>
      <c r="S101" s="5" t="str">
        <f>IF(_xlfn.XLOOKUP(StatTbl[[#This Row],[Join]],TargetSlots[Join],TargetSlots[Join],"Не найдено")&lt;&gt;"Не найдено","Ищем","Не ищем")</f>
        <v>Не ищем</v>
      </c>
      <c r="T101" s="4" t="str">
        <f ca="1">IF(COUNTIFS(OFFSET(D101:$Q101,0,SearchDay-1,,15-SearchDay),"&lt;="&amp; ValidC,OFFSET(D101:$Q101,0,SearchDay-1,,15-SearchDay),"&gt;-1")&gt;0,"Есть слот!","Ничего")</f>
        <v>Ничего</v>
      </c>
      <c r="U101">
        <f ca="1">IF(S101="Ищем",IF(StatTbl[[#This Row],[Доступность]]="Есть слот!",COUNTIFS(OFFSET(D101:$Q101,0,SearchDay-1),"&lt;="&amp; ValidC,OFFSET(D101:$Q101,0,SearchDay-1),"&gt;-1"),0),0)</f>
        <v>0</v>
      </c>
      <c r="V101" t="str" cm="1">
        <f t="array" aca="1" ref="V101" ca="1">IF(StatTbl[[#This Row],[Кол-во слотов]]&gt;0, B101&amp;" "&amp;C101&amp;" "&amp;_xlfn.TEXTJOIN(", ",FALSE,TEXT(_xlfn._xlws.FILTER(OFFSET($D$8:$Q$8,0,SearchDay-1,,15-SearchDay),(OFFSET(D101:Q101,0,SearchDay-1,,15-SearchDay)&gt;-1)*(OFFSET(D101:Q101,0,SearchDay-1,,15-SearchDay)&lt;=ValidC)),"ДД/ММ")),"")</f>
        <v/>
      </c>
      <c r="W101" t="str">
        <f t="shared" si="1"/>
        <v>Рязань (Тюшевское)Короба</v>
      </c>
      <c r="Y101" s="10"/>
      <c r="Z101" s="10"/>
      <c r="AA101" s="10"/>
      <c r="AB101" s="10"/>
    </row>
    <row r="102" spans="2:28" x14ac:dyDescent="0.45">
      <c r="B102" s="12" t="s">
        <v>29</v>
      </c>
      <c r="C102" s="12" t="s">
        <v>110</v>
      </c>
      <c r="D102" s="35">
        <v>-1</v>
      </c>
      <c r="E102" s="35">
        <v>-1</v>
      </c>
      <c r="F102" s="35">
        <v>-1</v>
      </c>
      <c r="G102" s="35">
        <v>-1</v>
      </c>
      <c r="H102" s="35">
        <v>-1</v>
      </c>
      <c r="I102" s="35">
        <v>-1</v>
      </c>
      <c r="J102" s="35">
        <v>-1</v>
      </c>
      <c r="K102" s="35">
        <v>-1</v>
      </c>
      <c r="L102" s="35">
        <v>-1</v>
      </c>
      <c r="M102" s="35">
        <v>-1</v>
      </c>
      <c r="N102" s="35">
        <v>-1</v>
      </c>
      <c r="O102" s="35">
        <v>-1</v>
      </c>
      <c r="P102" s="35">
        <v>-1</v>
      </c>
      <c r="Q102" s="35">
        <v>-1</v>
      </c>
      <c r="S102" s="5" t="str">
        <f>IF(_xlfn.XLOOKUP(StatTbl[[#This Row],[Join]],TargetSlots[Join],TargetSlots[Join],"Не найдено")&lt;&gt;"Не найдено","Ищем","Не ищем")</f>
        <v>Не ищем</v>
      </c>
      <c r="T102" s="4" t="str">
        <f ca="1">IF(COUNTIFS(OFFSET(D102:$Q102,0,SearchDay-1,,15-SearchDay),"&lt;="&amp; ValidC,OFFSET(D102:$Q102,0,SearchDay-1,,15-SearchDay),"&gt;-1")&gt;0,"Есть слот!","Ничего")</f>
        <v>Ничего</v>
      </c>
      <c r="U102">
        <f ca="1">IF(S102="Ищем",IF(StatTbl[[#This Row],[Доступность]]="Есть слот!",COUNTIFS(OFFSET(D102:$Q102,0,SearchDay-1),"&lt;="&amp; ValidC,OFFSET(D102:$Q102,0,SearchDay-1),"&gt;-1"),0),0)</f>
        <v>0</v>
      </c>
      <c r="V102" t="str" cm="1">
        <f t="array" aca="1" ref="V102" ca="1">IF(StatTbl[[#This Row],[Кол-во слотов]]&gt;0, B102&amp;" "&amp;C102&amp;" "&amp;_xlfn.TEXTJOIN(", ",FALSE,TEXT(_xlfn._xlws.FILTER(OFFSET($D$8:$Q$8,0,SearchDay-1,,15-SearchDay),(OFFSET(D102:Q102,0,SearchDay-1,,15-SearchDay)&gt;-1)*(OFFSET(D102:Q102,0,SearchDay-1,,15-SearchDay)&lt;=ValidC)),"ДД/ММ")),"")</f>
        <v/>
      </c>
      <c r="W102" t="str">
        <f t="shared" si="1"/>
        <v>Рязань (Тюшевское)Монопаллеты</v>
      </c>
      <c r="Y102" s="10"/>
      <c r="Z102" s="10"/>
      <c r="AA102" s="10"/>
      <c r="AB102" s="10"/>
    </row>
    <row r="103" spans="2:28" x14ac:dyDescent="0.45">
      <c r="B103" s="12" t="s">
        <v>29</v>
      </c>
      <c r="C103" s="12" t="s">
        <v>6</v>
      </c>
      <c r="D103" s="35">
        <v>-1</v>
      </c>
      <c r="E103" s="35">
        <v>-1</v>
      </c>
      <c r="F103" s="35">
        <v>-1</v>
      </c>
      <c r="G103" s="35">
        <v>-1</v>
      </c>
      <c r="H103" s="35">
        <v>-1</v>
      </c>
      <c r="I103" s="35">
        <v>-1</v>
      </c>
      <c r="J103" s="35">
        <v>-1</v>
      </c>
      <c r="K103" s="35">
        <v>-1</v>
      </c>
      <c r="L103" s="35">
        <v>-1</v>
      </c>
      <c r="M103" s="35">
        <v>-1</v>
      </c>
      <c r="N103" s="35">
        <v>-1</v>
      </c>
      <c r="O103" s="35">
        <v>-1</v>
      </c>
      <c r="P103" s="35">
        <v>-1</v>
      </c>
      <c r="Q103" s="35">
        <v>-1</v>
      </c>
      <c r="S103" s="5" t="str">
        <f>IF(_xlfn.XLOOKUP(StatTbl[[#This Row],[Join]],TargetSlots[Join],TargetSlots[Join],"Не найдено")&lt;&gt;"Не найдено","Ищем","Не ищем")</f>
        <v>Не ищем</v>
      </c>
      <c r="T103" s="4" t="str">
        <f ca="1">IF(COUNTIFS(OFFSET(D103:$Q103,0,SearchDay-1,,15-SearchDay),"&lt;="&amp; ValidC,OFFSET(D103:$Q103,0,SearchDay-1,,15-SearchDay),"&gt;-1")&gt;0,"Есть слот!","Ничего")</f>
        <v>Ничего</v>
      </c>
      <c r="U103">
        <f ca="1">IF(S103="Ищем",IF(StatTbl[[#This Row],[Доступность]]="Есть слот!",COUNTIFS(OFFSET(D103:$Q103,0,SearchDay-1),"&lt;="&amp; ValidC,OFFSET(D103:$Q103,0,SearchDay-1),"&gt;-1"),0),0)</f>
        <v>0</v>
      </c>
      <c r="V103" t="str" cm="1">
        <f t="array" aca="1" ref="V103" ca="1">IF(StatTbl[[#This Row],[Кол-во слотов]]&gt;0, B103&amp;" "&amp;C103&amp;" "&amp;_xlfn.TEXTJOIN(", ",FALSE,TEXT(_xlfn._xlws.FILTER(OFFSET($D$8:$Q$8,0,SearchDay-1,,15-SearchDay),(OFFSET(D103:Q103,0,SearchDay-1,,15-SearchDay)&gt;-1)*(OFFSET(D103:Q103,0,SearchDay-1,,15-SearchDay)&lt;=ValidC)),"ДД/ММ")),"")</f>
        <v/>
      </c>
      <c r="W103" t="str">
        <f t="shared" si="1"/>
        <v>Рязань (Тюшевское)Суперсейф</v>
      </c>
      <c r="Y103" s="10"/>
      <c r="Z103" s="10"/>
      <c r="AA103" s="10"/>
      <c r="AB103" s="10"/>
    </row>
    <row r="104" spans="2:28" x14ac:dyDescent="0.45">
      <c r="B104" s="12" t="s">
        <v>29</v>
      </c>
      <c r="C104" s="12" t="s">
        <v>111</v>
      </c>
      <c r="D104" s="35">
        <v>-1</v>
      </c>
      <c r="E104" s="35">
        <v>-1</v>
      </c>
      <c r="F104" s="35">
        <v>-1</v>
      </c>
      <c r="G104" s="35">
        <v>-1</v>
      </c>
      <c r="H104" s="35">
        <v>-1</v>
      </c>
      <c r="I104" s="35">
        <v>-1</v>
      </c>
      <c r="J104" s="35">
        <v>-1</v>
      </c>
      <c r="K104" s="35">
        <v>-1</v>
      </c>
      <c r="L104" s="35">
        <v>-1</v>
      </c>
      <c r="M104" s="35">
        <v>-1</v>
      </c>
      <c r="N104" s="35">
        <v>-1</v>
      </c>
      <c r="O104" s="35">
        <v>-1</v>
      </c>
      <c r="P104" s="35">
        <v>-1</v>
      </c>
      <c r="Q104" s="35">
        <v>-1</v>
      </c>
      <c r="S104" s="5" t="str">
        <f>IF(_xlfn.XLOOKUP(StatTbl[[#This Row],[Join]],TargetSlots[Join],TargetSlots[Join],"Не найдено")&lt;&gt;"Не найдено","Ищем","Не ищем")</f>
        <v>Не ищем</v>
      </c>
      <c r="T104" s="4" t="str">
        <f ca="1">IF(COUNTIFS(OFFSET(D104:$Q104,0,SearchDay-1,,15-SearchDay),"&lt;="&amp; ValidC,OFFSET(D104:$Q104,0,SearchDay-1,,15-SearchDay),"&gt;-1")&gt;0,"Есть слот!","Ничего")</f>
        <v>Ничего</v>
      </c>
      <c r="U104">
        <f ca="1">IF(S104="Ищем",IF(StatTbl[[#This Row],[Доступность]]="Есть слот!",COUNTIFS(OFFSET(D104:$Q104,0,SearchDay-1),"&lt;="&amp; ValidC,OFFSET(D104:$Q104,0,SearchDay-1),"&gt;-1"),0),0)</f>
        <v>0</v>
      </c>
      <c r="V104" t="str" cm="1">
        <f t="array" aca="1" ref="V104" ca="1">IF(StatTbl[[#This Row],[Кол-во слотов]]&gt;0, B104&amp;" "&amp;C104&amp;" "&amp;_xlfn.TEXTJOIN(", ",FALSE,TEXT(_xlfn._xlws.FILTER(OFFSET($D$8:$Q$8,0,SearchDay-1,,15-SearchDay),(OFFSET(D104:Q104,0,SearchDay-1,,15-SearchDay)&gt;-1)*(OFFSET(D104:Q104,0,SearchDay-1,,15-SearchDay)&lt;=ValidC)),"ДД/ММ")),"")</f>
        <v/>
      </c>
      <c r="W104" t="str">
        <f t="shared" si="1"/>
        <v>Рязань (Тюшевское)QR-поставка</v>
      </c>
      <c r="Y104" s="10"/>
      <c r="Z104" s="10"/>
      <c r="AA104" s="10"/>
      <c r="AB104" s="10"/>
    </row>
    <row r="105" spans="2:28" x14ac:dyDescent="0.45">
      <c r="B105" s="12" t="s">
        <v>30</v>
      </c>
      <c r="C105" s="12" t="s">
        <v>109</v>
      </c>
      <c r="D105" s="35">
        <v>15</v>
      </c>
      <c r="E105" s="35">
        <v>-1</v>
      </c>
      <c r="F105" s="35">
        <v>15</v>
      </c>
      <c r="G105" s="35">
        <v>-1</v>
      </c>
      <c r="H105" s="35">
        <v>-1</v>
      </c>
      <c r="I105" s="35">
        <v>-1</v>
      </c>
      <c r="J105" s="35">
        <v>-1</v>
      </c>
      <c r="K105" s="35">
        <v>-1</v>
      </c>
      <c r="L105" s="35">
        <v>-1</v>
      </c>
      <c r="M105" s="35">
        <v>-1</v>
      </c>
      <c r="N105" s="35">
        <v>-1</v>
      </c>
      <c r="O105" s="35">
        <v>-1</v>
      </c>
      <c r="P105" s="35">
        <v>-1</v>
      </c>
      <c r="Q105" s="35">
        <v>-1</v>
      </c>
      <c r="S105" s="5" t="str">
        <f>IF(_xlfn.XLOOKUP(StatTbl[[#This Row],[Join]],TargetSlots[Join],TargetSlots[Join],"Не найдено")&lt;&gt;"Не найдено","Ищем","Не ищем")</f>
        <v>Не ищем</v>
      </c>
      <c r="T105" s="4" t="str">
        <f ca="1">IF(COUNTIFS(OFFSET(D105:$Q105,0,SearchDay-1,,15-SearchDay),"&lt;="&amp; ValidC,OFFSET(D105:$Q105,0,SearchDay-1,,15-SearchDay),"&gt;-1")&gt;0,"Есть слот!","Ничего")</f>
        <v>Ничего</v>
      </c>
      <c r="U105">
        <f ca="1">IF(S105="Ищем",IF(StatTbl[[#This Row],[Доступность]]="Есть слот!",COUNTIFS(OFFSET(D105:$Q105,0,SearchDay-1),"&lt;="&amp; ValidC,OFFSET(D105:$Q105,0,SearchDay-1),"&gt;-1"),0),0)</f>
        <v>0</v>
      </c>
      <c r="V105" t="str" cm="1">
        <f t="array" aca="1" ref="V105" ca="1">IF(StatTbl[[#This Row],[Кол-во слотов]]&gt;0, B105&amp;" "&amp;C105&amp;" "&amp;_xlfn.TEXTJOIN(", ",FALSE,TEXT(_xlfn._xlws.FILTER(OFFSET($D$8:$Q$8,0,SearchDay-1,,15-SearchDay),(OFFSET(D105:Q105,0,SearchDay-1,,15-SearchDay)&gt;-1)*(OFFSET(D105:Q105,0,SearchDay-1,,15-SearchDay)&lt;=ValidC)),"ДД/ММ")),"")</f>
        <v/>
      </c>
      <c r="W105" t="str">
        <f t="shared" si="1"/>
        <v>Санкт-Петербург (Уткина Заводь)Короба</v>
      </c>
      <c r="Y105" s="10"/>
      <c r="Z105" s="10"/>
      <c r="AA105" s="10"/>
      <c r="AB105" s="10"/>
    </row>
    <row r="106" spans="2:28" x14ac:dyDescent="0.45">
      <c r="B106" s="12" t="s">
        <v>30</v>
      </c>
      <c r="C106" s="12" t="s">
        <v>110</v>
      </c>
      <c r="D106" s="35">
        <v>-1</v>
      </c>
      <c r="E106" s="35">
        <v>-1</v>
      </c>
      <c r="F106" s="35">
        <v>-1</v>
      </c>
      <c r="G106" s="35">
        <v>-1</v>
      </c>
      <c r="H106" s="35">
        <v>-1</v>
      </c>
      <c r="I106" s="35">
        <v>-1</v>
      </c>
      <c r="J106" s="35">
        <v>-1</v>
      </c>
      <c r="K106" s="35">
        <v>-1</v>
      </c>
      <c r="L106" s="35">
        <v>-1</v>
      </c>
      <c r="M106" s="35">
        <v>-1</v>
      </c>
      <c r="N106" s="35">
        <v>-1</v>
      </c>
      <c r="O106" s="35">
        <v>-1</v>
      </c>
      <c r="P106" s="35">
        <v>-1</v>
      </c>
      <c r="Q106" s="35">
        <v>-1</v>
      </c>
      <c r="S106" s="5" t="str">
        <f>IF(_xlfn.XLOOKUP(StatTbl[[#This Row],[Join]],TargetSlots[Join],TargetSlots[Join],"Не найдено")&lt;&gt;"Не найдено","Ищем","Не ищем")</f>
        <v>Не ищем</v>
      </c>
      <c r="T106" s="4" t="str">
        <f ca="1">IF(COUNTIFS(OFFSET(D106:$Q106,0,SearchDay-1,,15-SearchDay),"&lt;="&amp; ValidC,OFFSET(D106:$Q106,0,SearchDay-1,,15-SearchDay),"&gt;-1")&gt;0,"Есть слот!","Ничего")</f>
        <v>Ничего</v>
      </c>
      <c r="U106">
        <f ca="1">IF(S106="Ищем",IF(StatTbl[[#This Row],[Доступность]]="Есть слот!",COUNTIFS(OFFSET(D106:$Q106,0,SearchDay-1),"&lt;="&amp; ValidC,OFFSET(D106:$Q106,0,SearchDay-1),"&gt;-1"),0),0)</f>
        <v>0</v>
      </c>
      <c r="V106" t="str" cm="1">
        <f t="array" aca="1" ref="V106" ca="1">IF(StatTbl[[#This Row],[Кол-во слотов]]&gt;0, B106&amp;" "&amp;C106&amp;" "&amp;_xlfn.TEXTJOIN(", ",FALSE,TEXT(_xlfn._xlws.FILTER(OFFSET($D$8:$Q$8,0,SearchDay-1,,15-SearchDay),(OFFSET(D106:Q106,0,SearchDay-1,,15-SearchDay)&gt;-1)*(OFFSET(D106:Q106,0,SearchDay-1,,15-SearchDay)&lt;=ValidC)),"ДД/ММ")),"")</f>
        <v/>
      </c>
      <c r="W106" t="str">
        <f t="shared" si="1"/>
        <v>Санкт-Петербург (Уткина Заводь)Монопаллеты</v>
      </c>
      <c r="Y106" s="10"/>
      <c r="Z106" s="10"/>
      <c r="AA106" s="10"/>
      <c r="AB106" s="10"/>
    </row>
    <row r="107" spans="2:28" x14ac:dyDescent="0.45">
      <c r="B107" s="12" t="s">
        <v>30</v>
      </c>
      <c r="C107" s="12" t="s">
        <v>6</v>
      </c>
      <c r="D107" s="35">
        <v>-1</v>
      </c>
      <c r="E107" s="35">
        <v>-1</v>
      </c>
      <c r="F107" s="35">
        <v>-1</v>
      </c>
      <c r="G107" s="35">
        <v>-1</v>
      </c>
      <c r="H107" s="35">
        <v>-1</v>
      </c>
      <c r="I107" s="35">
        <v>-1</v>
      </c>
      <c r="J107" s="35">
        <v>-1</v>
      </c>
      <c r="K107" s="35">
        <v>-1</v>
      </c>
      <c r="L107" s="35">
        <v>-1</v>
      </c>
      <c r="M107" s="35">
        <v>-1</v>
      </c>
      <c r="N107" s="35">
        <v>-1</v>
      </c>
      <c r="O107" s="35">
        <v>-1</v>
      </c>
      <c r="P107" s="35">
        <v>-1</v>
      </c>
      <c r="Q107" s="35">
        <v>-1</v>
      </c>
      <c r="S107" s="5" t="str">
        <f>IF(_xlfn.XLOOKUP(StatTbl[[#This Row],[Join]],TargetSlots[Join],TargetSlots[Join],"Не найдено")&lt;&gt;"Не найдено","Ищем","Не ищем")</f>
        <v>Не ищем</v>
      </c>
      <c r="T107" s="4" t="str">
        <f ca="1">IF(COUNTIFS(OFFSET(D107:$Q107,0,SearchDay-1,,15-SearchDay),"&lt;="&amp; ValidC,OFFSET(D107:$Q107,0,SearchDay-1,,15-SearchDay),"&gt;-1")&gt;0,"Есть слот!","Ничего")</f>
        <v>Ничего</v>
      </c>
      <c r="U107">
        <f ca="1">IF(S107="Ищем",IF(StatTbl[[#This Row],[Доступность]]="Есть слот!",COUNTIFS(OFFSET(D107:$Q107,0,SearchDay-1),"&lt;="&amp; ValidC,OFFSET(D107:$Q107,0,SearchDay-1),"&gt;-1"),0),0)</f>
        <v>0</v>
      </c>
      <c r="V107" t="str" cm="1">
        <f t="array" aca="1" ref="V107" ca="1">IF(StatTbl[[#This Row],[Кол-во слотов]]&gt;0, B107&amp;" "&amp;C107&amp;" "&amp;_xlfn.TEXTJOIN(", ",FALSE,TEXT(_xlfn._xlws.FILTER(OFFSET($D$8:$Q$8,0,SearchDay-1,,15-SearchDay),(OFFSET(D107:Q107,0,SearchDay-1,,15-SearchDay)&gt;-1)*(OFFSET(D107:Q107,0,SearchDay-1,,15-SearchDay)&lt;=ValidC)),"ДД/ММ")),"")</f>
        <v/>
      </c>
      <c r="W107" t="str">
        <f t="shared" si="1"/>
        <v>Санкт-Петербург (Уткина Заводь)Суперсейф</v>
      </c>
      <c r="Y107" s="10"/>
      <c r="Z107" s="10"/>
      <c r="AA107" s="10"/>
      <c r="AB107" s="10"/>
    </row>
    <row r="108" spans="2:28" x14ac:dyDescent="0.45">
      <c r="B108" s="12" t="s">
        <v>30</v>
      </c>
      <c r="C108" s="12" t="s">
        <v>111</v>
      </c>
      <c r="D108" s="35">
        <v>-1</v>
      </c>
      <c r="E108" s="35">
        <v>-1</v>
      </c>
      <c r="F108" s="35">
        <v>-1</v>
      </c>
      <c r="G108" s="35">
        <v>-1</v>
      </c>
      <c r="H108" s="35">
        <v>-1</v>
      </c>
      <c r="I108" s="35">
        <v>-1</v>
      </c>
      <c r="J108" s="35">
        <v>-1</v>
      </c>
      <c r="K108" s="35">
        <v>-1</v>
      </c>
      <c r="L108" s="35">
        <v>-1</v>
      </c>
      <c r="M108" s="35">
        <v>-1</v>
      </c>
      <c r="N108" s="35">
        <v>-1</v>
      </c>
      <c r="O108" s="35">
        <v>-1</v>
      </c>
      <c r="P108" s="35">
        <v>-1</v>
      </c>
      <c r="Q108" s="35">
        <v>-1</v>
      </c>
      <c r="S108" s="5" t="str">
        <f>IF(_xlfn.XLOOKUP(StatTbl[[#This Row],[Join]],TargetSlots[Join],TargetSlots[Join],"Не найдено")&lt;&gt;"Не найдено","Ищем","Не ищем")</f>
        <v>Не ищем</v>
      </c>
      <c r="T108" s="4" t="str">
        <f ca="1">IF(COUNTIFS(OFFSET(D108:$Q108,0,SearchDay-1,,15-SearchDay),"&lt;="&amp; ValidC,OFFSET(D108:$Q108,0,SearchDay-1,,15-SearchDay),"&gt;-1")&gt;0,"Есть слот!","Ничего")</f>
        <v>Ничего</v>
      </c>
      <c r="U108">
        <f ca="1">IF(S108="Ищем",IF(StatTbl[[#This Row],[Доступность]]="Есть слот!",COUNTIFS(OFFSET(D108:$Q108,0,SearchDay-1),"&lt;="&amp; ValidC,OFFSET(D108:$Q108,0,SearchDay-1),"&gt;-1"),0),0)</f>
        <v>0</v>
      </c>
      <c r="V108" t="str" cm="1">
        <f t="array" aca="1" ref="V108" ca="1">IF(StatTbl[[#This Row],[Кол-во слотов]]&gt;0, B108&amp;" "&amp;C108&amp;" "&amp;_xlfn.TEXTJOIN(", ",FALSE,TEXT(_xlfn._xlws.FILTER(OFFSET($D$8:$Q$8,0,SearchDay-1,,15-SearchDay),(OFFSET(D108:Q108,0,SearchDay-1,,15-SearchDay)&gt;-1)*(OFFSET(D108:Q108,0,SearchDay-1,,15-SearchDay)&lt;=ValidC)),"ДД/ММ")),"")</f>
        <v/>
      </c>
      <c r="W108" t="str">
        <f t="shared" si="1"/>
        <v>Санкт-Петербург (Уткина Заводь)QR-поставка</v>
      </c>
      <c r="Y108" s="10"/>
      <c r="Z108" s="10"/>
      <c r="AA108" s="10"/>
      <c r="AB108" s="10"/>
    </row>
    <row r="109" spans="2:28" x14ac:dyDescent="0.45">
      <c r="B109" s="12" t="s">
        <v>31</v>
      </c>
      <c r="C109" s="12" t="s">
        <v>109</v>
      </c>
      <c r="D109" s="35">
        <v>-1</v>
      </c>
      <c r="E109" s="35">
        <v>-1</v>
      </c>
      <c r="F109" s="35">
        <v>-1</v>
      </c>
      <c r="G109" s="35">
        <v>-1</v>
      </c>
      <c r="H109" s="35">
        <v>-1</v>
      </c>
      <c r="I109" s="35">
        <v>-1</v>
      </c>
      <c r="J109" s="35">
        <v>-1</v>
      </c>
      <c r="K109" s="35">
        <v>-1</v>
      </c>
      <c r="L109" s="35">
        <v>-1</v>
      </c>
      <c r="M109" s="35">
        <v>-1</v>
      </c>
      <c r="N109" s="35">
        <v>-1</v>
      </c>
      <c r="O109" s="35">
        <v>-1</v>
      </c>
      <c r="P109" s="35">
        <v>-1</v>
      </c>
      <c r="Q109" s="35">
        <v>-1</v>
      </c>
      <c r="S109" s="5" t="str">
        <f>IF(_xlfn.XLOOKUP(StatTbl[[#This Row],[Join]],TargetSlots[Join],TargetSlots[Join],"Не найдено")&lt;&gt;"Не найдено","Ищем","Не ищем")</f>
        <v>Не ищем</v>
      </c>
      <c r="T109" s="4" t="str">
        <f ca="1">IF(COUNTIFS(OFFSET(D109:$Q109,0,SearchDay-1,,15-SearchDay),"&lt;="&amp; ValidC,OFFSET(D109:$Q109,0,SearchDay-1,,15-SearchDay),"&gt;-1")&gt;0,"Есть слот!","Ничего")</f>
        <v>Ничего</v>
      </c>
      <c r="U109">
        <f ca="1">IF(S109="Ищем",IF(StatTbl[[#This Row],[Доступность]]="Есть слот!",COUNTIFS(OFFSET(D109:$Q109,0,SearchDay-1),"&lt;="&amp; ValidC,OFFSET(D109:$Q109,0,SearchDay-1),"&gt;-1"),0),0)</f>
        <v>0</v>
      </c>
      <c r="V109" t="str" cm="1">
        <f t="array" aca="1" ref="V109" ca="1">IF(StatTbl[[#This Row],[Кол-во слотов]]&gt;0, B109&amp;" "&amp;C109&amp;" "&amp;_xlfn.TEXTJOIN(", ",FALSE,TEXT(_xlfn._xlws.FILTER(OFFSET($D$8:$Q$8,0,SearchDay-1,,15-SearchDay),(OFFSET(D109:Q109,0,SearchDay-1,,15-SearchDay)&gt;-1)*(OFFSET(D109:Q109,0,SearchDay-1,,15-SearchDay)&lt;=ValidC)),"ДД/ММ")),"")</f>
        <v/>
      </c>
      <c r="W109" t="str">
        <f t="shared" si="1"/>
        <v>СЦ АбаканКороба</v>
      </c>
      <c r="Y109" s="10"/>
      <c r="Z109" s="10"/>
      <c r="AA109" s="10"/>
      <c r="AB109" s="10"/>
    </row>
    <row r="110" spans="2:28" x14ac:dyDescent="0.45">
      <c r="B110" s="12" t="s">
        <v>31</v>
      </c>
      <c r="C110" s="12" t="s">
        <v>110</v>
      </c>
      <c r="D110" s="35">
        <v>-1</v>
      </c>
      <c r="E110" s="35">
        <v>-1</v>
      </c>
      <c r="F110" s="35">
        <v>-1</v>
      </c>
      <c r="G110" s="35">
        <v>-1</v>
      </c>
      <c r="H110" s="35">
        <v>-1</v>
      </c>
      <c r="I110" s="35">
        <v>-1</v>
      </c>
      <c r="J110" s="35">
        <v>-1</v>
      </c>
      <c r="K110" s="35">
        <v>-1</v>
      </c>
      <c r="L110" s="35">
        <v>-1</v>
      </c>
      <c r="M110" s="35">
        <v>-1</v>
      </c>
      <c r="N110" s="35">
        <v>-1</v>
      </c>
      <c r="O110" s="35">
        <v>-1</v>
      </c>
      <c r="P110" s="35">
        <v>-1</v>
      </c>
      <c r="Q110" s="35">
        <v>-1</v>
      </c>
      <c r="S110" s="5" t="str">
        <f>IF(_xlfn.XLOOKUP(StatTbl[[#This Row],[Join]],TargetSlots[Join],TargetSlots[Join],"Не найдено")&lt;&gt;"Не найдено","Ищем","Не ищем")</f>
        <v>Не ищем</v>
      </c>
      <c r="T110" s="4" t="str">
        <f ca="1">IF(COUNTIFS(OFFSET(D110:$Q110,0,SearchDay-1,,15-SearchDay),"&lt;="&amp; ValidC,OFFSET(D110:$Q110,0,SearchDay-1,,15-SearchDay),"&gt;-1")&gt;0,"Есть слот!","Ничего")</f>
        <v>Ничего</v>
      </c>
      <c r="U110">
        <f ca="1">IF(S110="Ищем",IF(StatTbl[[#This Row],[Доступность]]="Есть слот!",COUNTIFS(OFFSET(D110:$Q110,0,SearchDay-1),"&lt;="&amp; ValidC,OFFSET(D110:$Q110,0,SearchDay-1),"&gt;-1"),0),0)</f>
        <v>0</v>
      </c>
      <c r="V110" t="str" cm="1">
        <f t="array" aca="1" ref="V110" ca="1">IF(StatTbl[[#This Row],[Кол-во слотов]]&gt;0, B110&amp;" "&amp;C110&amp;" "&amp;_xlfn.TEXTJOIN(", ",FALSE,TEXT(_xlfn._xlws.FILTER(OFFSET($D$8:$Q$8,0,SearchDay-1,,15-SearchDay),(OFFSET(D110:Q110,0,SearchDay-1,,15-SearchDay)&gt;-1)*(OFFSET(D110:Q110,0,SearchDay-1,,15-SearchDay)&lt;=ValidC)),"ДД/ММ")),"")</f>
        <v/>
      </c>
      <c r="W110" t="str">
        <f t="shared" si="1"/>
        <v>СЦ АбаканМонопаллеты</v>
      </c>
      <c r="Y110" s="10"/>
      <c r="Z110" s="10"/>
      <c r="AA110" s="10"/>
      <c r="AB110" s="10"/>
    </row>
    <row r="111" spans="2:28" x14ac:dyDescent="0.45">
      <c r="B111" s="12" t="s">
        <v>31</v>
      </c>
      <c r="C111" s="12" t="s">
        <v>6</v>
      </c>
      <c r="D111" s="35">
        <v>-1</v>
      </c>
      <c r="E111" s="35">
        <v>-1</v>
      </c>
      <c r="F111" s="35">
        <v>-1</v>
      </c>
      <c r="G111" s="35">
        <v>-1</v>
      </c>
      <c r="H111" s="35">
        <v>-1</v>
      </c>
      <c r="I111" s="35">
        <v>-1</v>
      </c>
      <c r="J111" s="35">
        <v>-1</v>
      </c>
      <c r="K111" s="35">
        <v>-1</v>
      </c>
      <c r="L111" s="35">
        <v>-1</v>
      </c>
      <c r="M111" s="35">
        <v>-1</v>
      </c>
      <c r="N111" s="35">
        <v>-1</v>
      </c>
      <c r="O111" s="35">
        <v>-1</v>
      </c>
      <c r="P111" s="35">
        <v>-1</v>
      </c>
      <c r="Q111" s="35">
        <v>-1</v>
      </c>
      <c r="S111" s="5" t="str">
        <f>IF(_xlfn.XLOOKUP(StatTbl[[#This Row],[Join]],TargetSlots[Join],TargetSlots[Join],"Не найдено")&lt;&gt;"Не найдено","Ищем","Не ищем")</f>
        <v>Не ищем</v>
      </c>
      <c r="T111" s="4" t="str">
        <f ca="1">IF(COUNTIFS(OFFSET(D111:$Q111,0,SearchDay-1,,15-SearchDay),"&lt;="&amp; ValidC,OFFSET(D111:$Q111,0,SearchDay-1,,15-SearchDay),"&gt;-1")&gt;0,"Есть слот!","Ничего")</f>
        <v>Ничего</v>
      </c>
      <c r="U111">
        <f ca="1">IF(S111="Ищем",IF(StatTbl[[#This Row],[Доступность]]="Есть слот!",COUNTIFS(OFFSET(D111:$Q111,0,SearchDay-1),"&lt;="&amp; ValidC,OFFSET(D111:$Q111,0,SearchDay-1),"&gt;-1"),0),0)</f>
        <v>0</v>
      </c>
      <c r="V111" t="str" cm="1">
        <f t="array" aca="1" ref="V111" ca="1">IF(StatTbl[[#This Row],[Кол-во слотов]]&gt;0, B111&amp;" "&amp;C111&amp;" "&amp;_xlfn.TEXTJOIN(", ",FALSE,TEXT(_xlfn._xlws.FILTER(OFFSET($D$8:$Q$8,0,SearchDay-1,,15-SearchDay),(OFFSET(D111:Q111,0,SearchDay-1,,15-SearchDay)&gt;-1)*(OFFSET(D111:Q111,0,SearchDay-1,,15-SearchDay)&lt;=ValidC)),"ДД/ММ")),"")</f>
        <v/>
      </c>
      <c r="W111" t="str">
        <f t="shared" si="1"/>
        <v>СЦ АбаканСуперсейф</v>
      </c>
      <c r="Y111" s="10"/>
      <c r="Z111" s="10"/>
      <c r="AA111" s="10"/>
      <c r="AB111" s="10"/>
    </row>
    <row r="112" spans="2:28" x14ac:dyDescent="0.45">
      <c r="B112" s="12" t="s">
        <v>31</v>
      </c>
      <c r="C112" s="12" t="s">
        <v>111</v>
      </c>
      <c r="D112" s="35">
        <v>-1</v>
      </c>
      <c r="E112" s="35">
        <v>-1</v>
      </c>
      <c r="F112" s="35">
        <v>-1</v>
      </c>
      <c r="G112" s="35">
        <v>-1</v>
      </c>
      <c r="H112" s="35">
        <v>-1</v>
      </c>
      <c r="I112" s="35">
        <v>-1</v>
      </c>
      <c r="J112" s="35">
        <v>-1</v>
      </c>
      <c r="K112" s="35">
        <v>-1</v>
      </c>
      <c r="L112" s="35">
        <v>-1</v>
      </c>
      <c r="M112" s="35">
        <v>-1</v>
      </c>
      <c r="N112" s="35">
        <v>-1</v>
      </c>
      <c r="O112" s="35">
        <v>-1</v>
      </c>
      <c r="P112" s="35">
        <v>-1</v>
      </c>
      <c r="Q112" s="35">
        <v>-1</v>
      </c>
      <c r="S112" s="5" t="str">
        <f>IF(_xlfn.XLOOKUP(StatTbl[[#This Row],[Join]],TargetSlots[Join],TargetSlots[Join],"Не найдено")&lt;&gt;"Не найдено","Ищем","Не ищем")</f>
        <v>Не ищем</v>
      </c>
      <c r="T112" s="4" t="str">
        <f ca="1">IF(COUNTIFS(OFFSET(D112:$Q112,0,SearchDay-1,,15-SearchDay),"&lt;="&amp; ValidC,OFFSET(D112:$Q112,0,SearchDay-1,,15-SearchDay),"&gt;-1")&gt;0,"Есть слот!","Ничего")</f>
        <v>Ничего</v>
      </c>
      <c r="U112">
        <f ca="1">IF(S112="Ищем",IF(StatTbl[[#This Row],[Доступность]]="Есть слот!",COUNTIFS(OFFSET(D112:$Q112,0,SearchDay-1),"&lt;="&amp; ValidC,OFFSET(D112:$Q112,0,SearchDay-1),"&gt;-1"),0),0)</f>
        <v>0</v>
      </c>
      <c r="V112" t="str" cm="1">
        <f t="array" aca="1" ref="V112" ca="1">IF(StatTbl[[#This Row],[Кол-во слотов]]&gt;0, B112&amp;" "&amp;C112&amp;" "&amp;_xlfn.TEXTJOIN(", ",FALSE,TEXT(_xlfn._xlws.FILTER(OFFSET($D$8:$Q$8,0,SearchDay-1,,15-SearchDay),(OFFSET(D112:Q112,0,SearchDay-1,,15-SearchDay)&gt;-1)*(OFFSET(D112:Q112,0,SearchDay-1,,15-SearchDay)&lt;=ValidC)),"ДД/ММ")),"")</f>
        <v/>
      </c>
      <c r="W112" t="str">
        <f t="shared" si="1"/>
        <v>СЦ АбаканQR-поставка</v>
      </c>
      <c r="Y112" s="10"/>
      <c r="Z112" s="10"/>
      <c r="AA112" s="10"/>
      <c r="AB112" s="10"/>
    </row>
    <row r="113" spans="2:28" x14ac:dyDescent="0.45">
      <c r="B113" s="12" t="s">
        <v>32</v>
      </c>
      <c r="C113" s="12" t="s">
        <v>109</v>
      </c>
      <c r="D113" s="35">
        <v>10</v>
      </c>
      <c r="E113" s="35">
        <v>10</v>
      </c>
      <c r="F113" s="35">
        <v>10</v>
      </c>
      <c r="G113" s="35">
        <v>10</v>
      </c>
      <c r="H113" s="35">
        <v>10</v>
      </c>
      <c r="I113" s="35">
        <v>10</v>
      </c>
      <c r="J113" s="35">
        <v>10</v>
      </c>
      <c r="K113" s="35">
        <v>10</v>
      </c>
      <c r="L113" s="35">
        <v>10</v>
      </c>
      <c r="M113" s="35">
        <v>10</v>
      </c>
      <c r="N113" s="35">
        <v>10</v>
      </c>
      <c r="O113" s="35">
        <v>10</v>
      </c>
      <c r="P113" s="35">
        <v>10</v>
      </c>
      <c r="Q113" s="35">
        <v>-1</v>
      </c>
      <c r="S113" s="5" t="str">
        <f>IF(_xlfn.XLOOKUP(StatTbl[[#This Row],[Join]],TargetSlots[Join],TargetSlots[Join],"Не найдено")&lt;&gt;"Не найдено","Ищем","Не ищем")</f>
        <v>Не ищем</v>
      </c>
      <c r="T113" s="4" t="str">
        <f ca="1">IF(COUNTIFS(OFFSET(D113:$Q113,0,SearchDay-1,,15-SearchDay),"&lt;="&amp; ValidC,OFFSET(D113:$Q113,0,SearchDay-1,,15-SearchDay),"&gt;-1")&gt;0,"Есть слот!","Ничего")</f>
        <v>Ничего</v>
      </c>
      <c r="U113">
        <f ca="1">IF(S113="Ищем",IF(StatTbl[[#This Row],[Доступность]]="Есть слот!",COUNTIFS(OFFSET(D113:$Q113,0,SearchDay-1),"&lt;="&amp; ValidC,OFFSET(D113:$Q113,0,SearchDay-1),"&gt;-1"),0),0)</f>
        <v>0</v>
      </c>
      <c r="V113" t="str" cm="1">
        <f t="array" aca="1" ref="V113" ca="1">IF(StatTbl[[#This Row],[Кол-во слотов]]&gt;0, B113&amp;" "&amp;C113&amp;" "&amp;_xlfn.TEXTJOIN(", ",FALSE,TEXT(_xlfn._xlws.FILTER(OFFSET($D$8:$Q$8,0,SearchDay-1,,15-SearchDay),(OFFSET(D113:Q113,0,SearchDay-1,,15-SearchDay)&gt;-1)*(OFFSET(D113:Q113,0,SearchDay-1,,15-SearchDay)&lt;=ValidC)),"ДД/ММ")),"")</f>
        <v/>
      </c>
      <c r="W113" t="str">
        <f t="shared" si="1"/>
        <v>СЦ Абакан 2Короба</v>
      </c>
      <c r="Y113" s="10"/>
      <c r="Z113" s="10"/>
      <c r="AA113" s="10"/>
      <c r="AB113" s="10"/>
    </row>
    <row r="114" spans="2:28" x14ac:dyDescent="0.45">
      <c r="B114" s="12" t="s">
        <v>32</v>
      </c>
      <c r="C114" s="12" t="s">
        <v>110</v>
      </c>
      <c r="D114" s="35">
        <v>-1</v>
      </c>
      <c r="E114" s="35">
        <v>-1</v>
      </c>
      <c r="F114" s="35">
        <v>-1</v>
      </c>
      <c r="G114" s="35">
        <v>-1</v>
      </c>
      <c r="H114" s="35">
        <v>-1</v>
      </c>
      <c r="I114" s="35">
        <v>-1</v>
      </c>
      <c r="J114" s="35">
        <v>-1</v>
      </c>
      <c r="K114" s="35">
        <v>-1</v>
      </c>
      <c r="L114" s="35">
        <v>-1</v>
      </c>
      <c r="M114" s="35">
        <v>-1</v>
      </c>
      <c r="N114" s="35">
        <v>-1</v>
      </c>
      <c r="O114" s="35">
        <v>-1</v>
      </c>
      <c r="P114" s="35">
        <v>-1</v>
      </c>
      <c r="Q114" s="35">
        <v>-1</v>
      </c>
      <c r="S114" s="5" t="str">
        <f>IF(_xlfn.XLOOKUP(StatTbl[[#This Row],[Join]],TargetSlots[Join],TargetSlots[Join],"Не найдено")&lt;&gt;"Не найдено","Ищем","Не ищем")</f>
        <v>Не ищем</v>
      </c>
      <c r="T114" s="4" t="str">
        <f ca="1">IF(COUNTIFS(OFFSET(D114:$Q114,0,SearchDay-1,,15-SearchDay),"&lt;="&amp; ValidC,OFFSET(D114:$Q114,0,SearchDay-1,,15-SearchDay),"&gt;-1")&gt;0,"Есть слот!","Ничего")</f>
        <v>Ничего</v>
      </c>
      <c r="U114">
        <f ca="1">IF(S114="Ищем",IF(StatTbl[[#This Row],[Доступность]]="Есть слот!",COUNTIFS(OFFSET(D114:$Q114,0,SearchDay-1),"&lt;="&amp; ValidC,OFFSET(D114:$Q114,0,SearchDay-1),"&gt;-1"),0),0)</f>
        <v>0</v>
      </c>
      <c r="V114" t="str" cm="1">
        <f t="array" aca="1" ref="V114" ca="1">IF(StatTbl[[#This Row],[Кол-во слотов]]&gt;0, B114&amp;" "&amp;C114&amp;" "&amp;_xlfn.TEXTJOIN(", ",FALSE,TEXT(_xlfn._xlws.FILTER(OFFSET($D$8:$Q$8,0,SearchDay-1,,15-SearchDay),(OFFSET(D114:Q114,0,SearchDay-1,,15-SearchDay)&gt;-1)*(OFFSET(D114:Q114,0,SearchDay-1,,15-SearchDay)&lt;=ValidC)),"ДД/ММ")),"")</f>
        <v/>
      </c>
      <c r="W114" t="str">
        <f t="shared" si="1"/>
        <v>СЦ Абакан 2Монопаллеты</v>
      </c>
      <c r="Y114" s="10"/>
      <c r="Z114" s="10"/>
      <c r="AA114" s="10"/>
      <c r="AB114" s="10"/>
    </row>
    <row r="115" spans="2:28" x14ac:dyDescent="0.45">
      <c r="B115" s="12" t="s">
        <v>32</v>
      </c>
      <c r="C115" s="12" t="s">
        <v>6</v>
      </c>
      <c r="D115" s="35">
        <v>-1</v>
      </c>
      <c r="E115" s="35">
        <v>-1</v>
      </c>
      <c r="F115" s="35">
        <v>-1</v>
      </c>
      <c r="G115" s="35">
        <v>-1</v>
      </c>
      <c r="H115" s="35">
        <v>-1</v>
      </c>
      <c r="I115" s="35">
        <v>-1</v>
      </c>
      <c r="J115" s="35">
        <v>-1</v>
      </c>
      <c r="K115" s="35">
        <v>-1</v>
      </c>
      <c r="L115" s="35">
        <v>-1</v>
      </c>
      <c r="M115" s="35">
        <v>-1</v>
      </c>
      <c r="N115" s="35">
        <v>-1</v>
      </c>
      <c r="O115" s="35">
        <v>-1</v>
      </c>
      <c r="P115" s="35">
        <v>-1</v>
      </c>
      <c r="Q115" s="35">
        <v>-1</v>
      </c>
      <c r="S115" s="5" t="str">
        <f>IF(_xlfn.XLOOKUP(StatTbl[[#This Row],[Join]],TargetSlots[Join],TargetSlots[Join],"Не найдено")&lt;&gt;"Не найдено","Ищем","Не ищем")</f>
        <v>Не ищем</v>
      </c>
      <c r="T115" s="4" t="str">
        <f ca="1">IF(COUNTIFS(OFFSET(D115:$Q115,0,SearchDay-1,,15-SearchDay),"&lt;="&amp; ValidC,OFFSET(D115:$Q115,0,SearchDay-1,,15-SearchDay),"&gt;-1")&gt;0,"Есть слот!","Ничего")</f>
        <v>Ничего</v>
      </c>
      <c r="U115">
        <f ca="1">IF(S115="Ищем",IF(StatTbl[[#This Row],[Доступность]]="Есть слот!",COUNTIFS(OFFSET(D115:$Q115,0,SearchDay-1),"&lt;="&amp; ValidC,OFFSET(D115:$Q115,0,SearchDay-1),"&gt;-1"),0),0)</f>
        <v>0</v>
      </c>
      <c r="V115" t="str" cm="1">
        <f t="array" aca="1" ref="V115" ca="1">IF(StatTbl[[#This Row],[Кол-во слотов]]&gt;0, B115&amp;" "&amp;C115&amp;" "&amp;_xlfn.TEXTJOIN(", ",FALSE,TEXT(_xlfn._xlws.FILTER(OFFSET($D$8:$Q$8,0,SearchDay-1,,15-SearchDay),(OFFSET(D115:Q115,0,SearchDay-1,,15-SearchDay)&gt;-1)*(OFFSET(D115:Q115,0,SearchDay-1,,15-SearchDay)&lt;=ValidC)),"ДД/ММ")),"")</f>
        <v/>
      </c>
      <c r="W115" t="str">
        <f t="shared" si="1"/>
        <v>СЦ Абакан 2Суперсейф</v>
      </c>
      <c r="Y115" s="10"/>
      <c r="Z115" s="10"/>
      <c r="AA115" s="10"/>
      <c r="AB115" s="10"/>
    </row>
    <row r="116" spans="2:28" x14ac:dyDescent="0.45">
      <c r="B116" s="12" t="s">
        <v>32</v>
      </c>
      <c r="C116" s="12" t="s">
        <v>111</v>
      </c>
      <c r="D116" s="35">
        <v>-1</v>
      </c>
      <c r="E116" s="35">
        <v>-1</v>
      </c>
      <c r="F116" s="35">
        <v>-1</v>
      </c>
      <c r="G116" s="35">
        <v>-1</v>
      </c>
      <c r="H116" s="35">
        <v>-1</v>
      </c>
      <c r="I116" s="35">
        <v>-1</v>
      </c>
      <c r="J116" s="35">
        <v>-1</v>
      </c>
      <c r="K116" s="35">
        <v>-1</v>
      </c>
      <c r="L116" s="35">
        <v>-1</v>
      </c>
      <c r="M116" s="35">
        <v>-1</v>
      </c>
      <c r="N116" s="35">
        <v>-1</v>
      </c>
      <c r="O116" s="35">
        <v>-1</v>
      </c>
      <c r="P116" s="35">
        <v>-1</v>
      </c>
      <c r="Q116" s="35">
        <v>-1</v>
      </c>
      <c r="S116" s="5" t="str">
        <f>IF(_xlfn.XLOOKUP(StatTbl[[#This Row],[Join]],TargetSlots[Join],TargetSlots[Join],"Не найдено")&lt;&gt;"Не найдено","Ищем","Не ищем")</f>
        <v>Не ищем</v>
      </c>
      <c r="T116" s="4" t="str">
        <f ca="1">IF(COUNTIFS(OFFSET(D116:$Q116,0,SearchDay-1,,15-SearchDay),"&lt;="&amp; ValidC,OFFSET(D116:$Q116,0,SearchDay-1,,15-SearchDay),"&gt;-1")&gt;0,"Есть слот!","Ничего")</f>
        <v>Ничего</v>
      </c>
      <c r="U116">
        <f ca="1">IF(S116="Ищем",IF(StatTbl[[#This Row],[Доступность]]="Есть слот!",COUNTIFS(OFFSET(D116:$Q116,0,SearchDay-1),"&lt;="&amp; ValidC,OFFSET(D116:$Q116,0,SearchDay-1),"&gt;-1"),0),0)</f>
        <v>0</v>
      </c>
      <c r="V116" t="str" cm="1">
        <f t="array" aca="1" ref="V116" ca="1">IF(StatTbl[[#This Row],[Кол-во слотов]]&gt;0, B116&amp;" "&amp;C116&amp;" "&amp;_xlfn.TEXTJOIN(", ",FALSE,TEXT(_xlfn._xlws.FILTER(OFFSET($D$8:$Q$8,0,SearchDay-1,,15-SearchDay),(OFFSET(D116:Q116,0,SearchDay-1,,15-SearchDay)&gt;-1)*(OFFSET(D116:Q116,0,SearchDay-1,,15-SearchDay)&lt;=ValidC)),"ДД/ММ")),"")</f>
        <v/>
      </c>
      <c r="W116" t="str">
        <f t="shared" si="1"/>
        <v>СЦ Абакан 2QR-поставка</v>
      </c>
      <c r="Y116" s="10"/>
      <c r="Z116" s="10"/>
      <c r="AA116" s="10"/>
      <c r="AB116" s="10"/>
    </row>
    <row r="117" spans="2:28" x14ac:dyDescent="0.45">
      <c r="B117" s="12" t="s">
        <v>33</v>
      </c>
      <c r="C117" s="12" t="s">
        <v>109</v>
      </c>
      <c r="D117" s="35">
        <v>-1</v>
      </c>
      <c r="E117" s="35">
        <v>-1</v>
      </c>
      <c r="F117" s="35">
        <v>-1</v>
      </c>
      <c r="G117" s="35">
        <v>-1</v>
      </c>
      <c r="H117" s="35">
        <v>-1</v>
      </c>
      <c r="I117" s="35">
        <v>-1</v>
      </c>
      <c r="J117" s="35">
        <v>-1</v>
      </c>
      <c r="K117" s="35">
        <v>-1</v>
      </c>
      <c r="L117" s="35">
        <v>-1</v>
      </c>
      <c r="M117" s="35">
        <v>-1</v>
      </c>
      <c r="N117" s="35">
        <v>-1</v>
      </c>
      <c r="O117" s="35">
        <v>-1</v>
      </c>
      <c r="P117" s="35">
        <v>-1</v>
      </c>
      <c r="Q117" s="35">
        <v>-1</v>
      </c>
      <c r="S117" s="5" t="str">
        <f>IF(_xlfn.XLOOKUP(StatTbl[[#This Row],[Join]],TargetSlots[Join],TargetSlots[Join],"Не найдено")&lt;&gt;"Не найдено","Ищем","Не ищем")</f>
        <v>Не ищем</v>
      </c>
      <c r="T117" s="4" t="str">
        <f ca="1">IF(COUNTIFS(OFFSET(D117:$Q117,0,SearchDay-1,,15-SearchDay),"&lt;="&amp; ValidC,OFFSET(D117:$Q117,0,SearchDay-1,,15-SearchDay),"&gt;-1")&gt;0,"Есть слот!","Ничего")</f>
        <v>Ничего</v>
      </c>
      <c r="U117">
        <f ca="1">IF(S117="Ищем",IF(StatTbl[[#This Row],[Доступность]]="Есть слот!",COUNTIFS(OFFSET(D117:$Q117,0,SearchDay-1),"&lt;="&amp; ValidC,OFFSET(D117:$Q117,0,SearchDay-1),"&gt;-1"),0),0)</f>
        <v>0</v>
      </c>
      <c r="V117" t="str" cm="1">
        <f t="array" aca="1" ref="V117" ca="1">IF(StatTbl[[#This Row],[Кол-во слотов]]&gt;0, B117&amp;" "&amp;C117&amp;" "&amp;_xlfn.TEXTJOIN(", ",FALSE,TEXT(_xlfn._xlws.FILTER(OFFSET($D$8:$Q$8,0,SearchDay-1,,15-SearchDay),(OFFSET(D117:Q117,0,SearchDay-1,,15-SearchDay)&gt;-1)*(OFFSET(D117:Q117,0,SearchDay-1,,15-SearchDay)&lt;=ValidC)),"ДД/ММ")),"")</f>
        <v/>
      </c>
      <c r="W117" t="str">
        <f t="shared" si="1"/>
        <v>СЦ АктобеКороба</v>
      </c>
      <c r="Y117" s="10"/>
      <c r="Z117" s="10"/>
      <c r="AA117" s="10"/>
      <c r="AB117" s="10"/>
    </row>
    <row r="118" spans="2:28" x14ac:dyDescent="0.45">
      <c r="B118" s="12" t="s">
        <v>33</v>
      </c>
      <c r="C118" s="12" t="s">
        <v>110</v>
      </c>
      <c r="D118" s="35">
        <v>0</v>
      </c>
      <c r="E118" s="35">
        <v>0</v>
      </c>
      <c r="F118" s="35">
        <v>0</v>
      </c>
      <c r="G118" s="35">
        <v>0</v>
      </c>
      <c r="H118" s="35">
        <v>0</v>
      </c>
      <c r="I118" s="35">
        <v>0</v>
      </c>
      <c r="J118" s="35">
        <v>0</v>
      </c>
      <c r="K118" s="35">
        <v>0</v>
      </c>
      <c r="L118" s="35">
        <v>0</v>
      </c>
      <c r="M118" s="35">
        <v>0</v>
      </c>
      <c r="N118" s="35">
        <v>0</v>
      </c>
      <c r="O118" s="35">
        <v>0</v>
      </c>
      <c r="P118" s="35">
        <v>0</v>
      </c>
      <c r="Q118" s="35">
        <v>-1</v>
      </c>
      <c r="S118" s="5" t="str">
        <f>IF(_xlfn.XLOOKUP(StatTbl[[#This Row],[Join]],TargetSlots[Join],TargetSlots[Join],"Не найдено")&lt;&gt;"Не найдено","Ищем","Не ищем")</f>
        <v>Не ищем</v>
      </c>
      <c r="T118" s="4" t="str">
        <f ca="1">IF(COUNTIFS(OFFSET(D118:$Q118,0,SearchDay-1,,15-SearchDay),"&lt;="&amp; ValidC,OFFSET(D118:$Q118,0,SearchDay-1,,15-SearchDay),"&gt;-1")&gt;0,"Есть слот!","Ничего")</f>
        <v>Есть слот!</v>
      </c>
      <c r="U118">
        <f ca="1">IF(S118="Ищем",IF(StatTbl[[#This Row],[Доступность]]="Есть слот!",COUNTIFS(OFFSET(D118:$Q118,0,SearchDay-1),"&lt;="&amp; ValidC,OFFSET(D118:$Q118,0,SearchDay-1),"&gt;-1"),0),0)</f>
        <v>0</v>
      </c>
      <c r="V118" t="str" cm="1">
        <f t="array" aca="1" ref="V118" ca="1">IF(StatTbl[[#This Row],[Кол-во слотов]]&gt;0, B118&amp;" "&amp;C118&amp;" "&amp;_xlfn.TEXTJOIN(", ",FALSE,TEXT(_xlfn._xlws.FILTER(OFFSET($D$8:$Q$8,0,SearchDay-1,,15-SearchDay),(OFFSET(D118:Q118,0,SearchDay-1,,15-SearchDay)&gt;-1)*(OFFSET(D118:Q118,0,SearchDay-1,,15-SearchDay)&lt;=ValidC)),"ДД/ММ")),"")</f>
        <v/>
      </c>
      <c r="W118" t="str">
        <f t="shared" si="1"/>
        <v>СЦ АктобеМонопаллеты</v>
      </c>
      <c r="Y118" s="10"/>
      <c r="Z118" s="10"/>
      <c r="AA118" s="10"/>
      <c r="AB118" s="10"/>
    </row>
    <row r="119" spans="2:28" x14ac:dyDescent="0.45">
      <c r="B119" s="12" t="s">
        <v>33</v>
      </c>
      <c r="C119" s="12" t="s">
        <v>6</v>
      </c>
      <c r="D119" s="35">
        <v>-1</v>
      </c>
      <c r="E119" s="35">
        <v>-1</v>
      </c>
      <c r="F119" s="35">
        <v>-1</v>
      </c>
      <c r="G119" s="35">
        <v>-1</v>
      </c>
      <c r="H119" s="35">
        <v>-1</v>
      </c>
      <c r="I119" s="35">
        <v>-1</v>
      </c>
      <c r="J119" s="35">
        <v>-1</v>
      </c>
      <c r="K119" s="35">
        <v>-1</v>
      </c>
      <c r="L119" s="35">
        <v>-1</v>
      </c>
      <c r="M119" s="35">
        <v>-1</v>
      </c>
      <c r="N119" s="35">
        <v>-1</v>
      </c>
      <c r="O119" s="35">
        <v>-1</v>
      </c>
      <c r="P119" s="35">
        <v>-1</v>
      </c>
      <c r="Q119" s="35">
        <v>-1</v>
      </c>
      <c r="S119" s="5" t="str">
        <f>IF(_xlfn.XLOOKUP(StatTbl[[#This Row],[Join]],TargetSlots[Join],TargetSlots[Join],"Не найдено")&lt;&gt;"Не найдено","Ищем","Не ищем")</f>
        <v>Не ищем</v>
      </c>
      <c r="T119" s="4" t="str">
        <f ca="1">IF(COUNTIFS(OFFSET(D119:$Q119,0,SearchDay-1,,15-SearchDay),"&lt;="&amp; ValidC,OFFSET(D119:$Q119,0,SearchDay-1,,15-SearchDay),"&gt;-1")&gt;0,"Есть слот!","Ничего")</f>
        <v>Ничего</v>
      </c>
      <c r="U119">
        <f ca="1">IF(S119="Ищем",IF(StatTbl[[#This Row],[Доступность]]="Есть слот!",COUNTIFS(OFFSET(D119:$Q119,0,SearchDay-1),"&lt;="&amp; ValidC,OFFSET(D119:$Q119,0,SearchDay-1),"&gt;-1"),0),0)</f>
        <v>0</v>
      </c>
      <c r="V119" t="str" cm="1">
        <f t="array" aca="1" ref="V119" ca="1">IF(StatTbl[[#This Row],[Кол-во слотов]]&gt;0, B119&amp;" "&amp;C119&amp;" "&amp;_xlfn.TEXTJOIN(", ",FALSE,TEXT(_xlfn._xlws.FILTER(OFFSET($D$8:$Q$8,0,SearchDay-1,,15-SearchDay),(OFFSET(D119:Q119,0,SearchDay-1,,15-SearchDay)&gt;-1)*(OFFSET(D119:Q119,0,SearchDay-1,,15-SearchDay)&lt;=ValidC)),"ДД/ММ")),"")</f>
        <v/>
      </c>
      <c r="W119" t="str">
        <f t="shared" si="1"/>
        <v>СЦ АктобеСуперсейф</v>
      </c>
      <c r="Y119" s="10"/>
      <c r="Z119" s="10"/>
      <c r="AA119" s="10"/>
      <c r="AB119" s="10"/>
    </row>
    <row r="120" spans="2:28" x14ac:dyDescent="0.45">
      <c r="B120" s="12" t="s">
        <v>33</v>
      </c>
      <c r="C120" s="12" t="s">
        <v>111</v>
      </c>
      <c r="D120" s="35">
        <v>-1</v>
      </c>
      <c r="E120" s="35">
        <v>-1</v>
      </c>
      <c r="F120" s="35">
        <v>-1</v>
      </c>
      <c r="G120" s="35">
        <v>-1</v>
      </c>
      <c r="H120" s="35">
        <v>-1</v>
      </c>
      <c r="I120" s="35">
        <v>-1</v>
      </c>
      <c r="J120" s="35">
        <v>-1</v>
      </c>
      <c r="K120" s="35">
        <v>-1</v>
      </c>
      <c r="L120" s="35">
        <v>-1</v>
      </c>
      <c r="M120" s="35">
        <v>-1</v>
      </c>
      <c r="N120" s="35">
        <v>-1</v>
      </c>
      <c r="O120" s="35">
        <v>-1</v>
      </c>
      <c r="P120" s="35">
        <v>-1</v>
      </c>
      <c r="Q120" s="35">
        <v>-1</v>
      </c>
      <c r="S120" s="5" t="str">
        <f>IF(_xlfn.XLOOKUP(StatTbl[[#This Row],[Join]],TargetSlots[Join],TargetSlots[Join],"Не найдено")&lt;&gt;"Не найдено","Ищем","Не ищем")</f>
        <v>Не ищем</v>
      </c>
      <c r="T120" s="4" t="str">
        <f ca="1">IF(COUNTIFS(OFFSET(D120:$Q120,0,SearchDay-1,,15-SearchDay),"&lt;="&amp; ValidC,OFFSET(D120:$Q120,0,SearchDay-1,,15-SearchDay),"&gt;-1")&gt;0,"Есть слот!","Ничего")</f>
        <v>Ничего</v>
      </c>
      <c r="U120">
        <f ca="1">IF(S120="Ищем",IF(StatTbl[[#This Row],[Доступность]]="Есть слот!",COUNTIFS(OFFSET(D120:$Q120,0,SearchDay-1),"&lt;="&amp; ValidC,OFFSET(D120:$Q120,0,SearchDay-1),"&gt;-1"),0),0)</f>
        <v>0</v>
      </c>
      <c r="V120" t="str" cm="1">
        <f t="array" aca="1" ref="V120" ca="1">IF(StatTbl[[#This Row],[Кол-во слотов]]&gt;0, B120&amp;" "&amp;C120&amp;" "&amp;_xlfn.TEXTJOIN(", ",FALSE,TEXT(_xlfn._xlws.FILTER(OFFSET($D$8:$Q$8,0,SearchDay-1,,15-SearchDay),(OFFSET(D120:Q120,0,SearchDay-1,,15-SearchDay)&gt;-1)*(OFFSET(D120:Q120,0,SearchDay-1,,15-SearchDay)&lt;=ValidC)),"ДД/ММ")),"")</f>
        <v/>
      </c>
      <c r="W120" t="str">
        <f t="shared" si="1"/>
        <v>СЦ АктобеQR-поставка</v>
      </c>
      <c r="Y120" s="10"/>
      <c r="Z120" s="10"/>
      <c r="AA120" s="10"/>
      <c r="AB120" s="10"/>
    </row>
    <row r="121" spans="2:28" x14ac:dyDescent="0.45">
      <c r="B121" s="12" t="s">
        <v>34</v>
      </c>
      <c r="C121" s="12" t="s">
        <v>109</v>
      </c>
      <c r="D121" s="35">
        <v>5</v>
      </c>
      <c r="E121" s="35">
        <v>20</v>
      </c>
      <c r="F121" s="35">
        <v>20</v>
      </c>
      <c r="G121" s="35">
        <v>20</v>
      </c>
      <c r="H121" s="35">
        <v>20</v>
      </c>
      <c r="I121" s="35">
        <v>20</v>
      </c>
      <c r="J121" s="35">
        <v>20</v>
      </c>
      <c r="K121" s="35">
        <v>20</v>
      </c>
      <c r="L121" s="35">
        <v>5</v>
      </c>
      <c r="M121" s="35">
        <v>20</v>
      </c>
      <c r="N121" s="35">
        <v>5</v>
      </c>
      <c r="O121" s="35">
        <v>20</v>
      </c>
      <c r="P121" s="35">
        <v>5</v>
      </c>
      <c r="Q121" s="35">
        <v>-1</v>
      </c>
      <c r="S121" s="5" t="str">
        <f>IF(_xlfn.XLOOKUP(StatTbl[[#This Row],[Join]],TargetSlots[Join],TargetSlots[Join],"Не найдено")&lt;&gt;"Не найдено","Ищем","Не ищем")</f>
        <v>Не ищем</v>
      </c>
      <c r="T121" s="4" t="str">
        <f ca="1">IF(COUNTIFS(OFFSET(D121:$Q121,0,SearchDay-1,,15-SearchDay),"&lt;="&amp; ValidC,OFFSET(D121:$Q121,0,SearchDay-1,,15-SearchDay),"&gt;-1")&gt;0,"Есть слот!","Ничего")</f>
        <v>Ничего</v>
      </c>
      <c r="U121">
        <f ca="1">IF(S121="Ищем",IF(StatTbl[[#This Row],[Доступность]]="Есть слот!",COUNTIFS(OFFSET(D121:$Q121,0,SearchDay-1),"&lt;="&amp; ValidC,OFFSET(D121:$Q121,0,SearchDay-1),"&gt;-1"),0),0)</f>
        <v>0</v>
      </c>
      <c r="V121" t="str" cm="1">
        <f t="array" aca="1" ref="V121" ca="1">IF(StatTbl[[#This Row],[Кол-во слотов]]&gt;0, B121&amp;" "&amp;C121&amp;" "&amp;_xlfn.TEXTJOIN(", ",FALSE,TEXT(_xlfn._xlws.FILTER(OFFSET($D$8:$Q$8,0,SearchDay-1,,15-SearchDay),(OFFSET(D121:Q121,0,SearchDay-1,,15-SearchDay)&gt;-1)*(OFFSET(D121:Q121,0,SearchDay-1,,15-SearchDay)&lt;=ValidC)),"ДД/ММ")),"")</f>
        <v/>
      </c>
      <c r="W121" t="str">
        <f t="shared" si="1"/>
        <v>СЦ АртемКороба</v>
      </c>
    </row>
    <row r="122" spans="2:28" x14ac:dyDescent="0.45">
      <c r="B122" s="12" t="s">
        <v>34</v>
      </c>
      <c r="C122" s="12" t="s">
        <v>110</v>
      </c>
      <c r="D122" s="35">
        <v>-1</v>
      </c>
      <c r="E122" s="35">
        <v>-1</v>
      </c>
      <c r="F122" s="35">
        <v>-1</v>
      </c>
      <c r="G122" s="35">
        <v>-1</v>
      </c>
      <c r="H122" s="35">
        <v>-1</v>
      </c>
      <c r="I122" s="35">
        <v>-1</v>
      </c>
      <c r="J122" s="35">
        <v>-1</v>
      </c>
      <c r="K122" s="35">
        <v>-1</v>
      </c>
      <c r="L122" s="35">
        <v>-1</v>
      </c>
      <c r="M122" s="35">
        <v>-1</v>
      </c>
      <c r="N122" s="35">
        <v>-1</v>
      </c>
      <c r="O122" s="35">
        <v>-1</v>
      </c>
      <c r="P122" s="35">
        <v>-1</v>
      </c>
      <c r="Q122" s="35">
        <v>-1</v>
      </c>
      <c r="S122" s="5" t="str">
        <f>IF(_xlfn.XLOOKUP(StatTbl[[#This Row],[Join]],TargetSlots[Join],TargetSlots[Join],"Не найдено")&lt;&gt;"Не найдено","Ищем","Не ищем")</f>
        <v>Не ищем</v>
      </c>
      <c r="T122" s="4" t="str">
        <f ca="1">IF(COUNTIFS(OFFSET(D122:$Q122,0,SearchDay-1,,15-SearchDay),"&lt;="&amp; ValidC,OFFSET(D122:$Q122,0,SearchDay-1,,15-SearchDay),"&gt;-1")&gt;0,"Есть слот!","Ничего")</f>
        <v>Ничего</v>
      </c>
      <c r="U122">
        <f ca="1">IF(S122="Ищем",IF(StatTbl[[#This Row],[Доступность]]="Есть слот!",COUNTIFS(OFFSET(D122:$Q122,0,SearchDay-1),"&lt;="&amp; ValidC,OFFSET(D122:$Q122,0,SearchDay-1),"&gt;-1"),0),0)</f>
        <v>0</v>
      </c>
      <c r="V122" t="str" cm="1">
        <f t="array" aca="1" ref="V122" ca="1">IF(StatTbl[[#This Row],[Кол-во слотов]]&gt;0, B122&amp;" "&amp;C122&amp;" "&amp;_xlfn.TEXTJOIN(", ",FALSE,TEXT(_xlfn._xlws.FILTER(OFFSET($D$8:$Q$8,0,SearchDay-1,,15-SearchDay),(OFFSET(D122:Q122,0,SearchDay-1,,15-SearchDay)&gt;-1)*(OFFSET(D122:Q122,0,SearchDay-1,,15-SearchDay)&lt;=ValidC)),"ДД/ММ")),"")</f>
        <v/>
      </c>
      <c r="W122" t="str">
        <f t="shared" si="1"/>
        <v>СЦ АртемМонопаллеты</v>
      </c>
      <c r="Y122" s="10"/>
      <c r="Z122" s="10"/>
      <c r="AA122" s="10"/>
      <c r="AB122" s="10"/>
    </row>
    <row r="123" spans="2:28" x14ac:dyDescent="0.45">
      <c r="B123" s="12" t="s">
        <v>34</v>
      </c>
      <c r="C123" s="12" t="s">
        <v>6</v>
      </c>
      <c r="D123" s="35">
        <v>-1</v>
      </c>
      <c r="E123" s="35">
        <v>-1</v>
      </c>
      <c r="F123" s="35">
        <v>-1</v>
      </c>
      <c r="G123" s="35">
        <v>-1</v>
      </c>
      <c r="H123" s="35">
        <v>-1</v>
      </c>
      <c r="I123" s="35">
        <v>-1</v>
      </c>
      <c r="J123" s="35">
        <v>-1</v>
      </c>
      <c r="K123" s="35">
        <v>-1</v>
      </c>
      <c r="L123" s="35">
        <v>-1</v>
      </c>
      <c r="M123" s="35">
        <v>-1</v>
      </c>
      <c r="N123" s="35">
        <v>-1</v>
      </c>
      <c r="O123" s="35">
        <v>-1</v>
      </c>
      <c r="P123" s="35">
        <v>-1</v>
      </c>
      <c r="Q123" s="35">
        <v>-1</v>
      </c>
      <c r="S123" s="5" t="str">
        <f>IF(_xlfn.XLOOKUP(StatTbl[[#This Row],[Join]],TargetSlots[Join],TargetSlots[Join],"Не найдено")&lt;&gt;"Не найдено","Ищем","Не ищем")</f>
        <v>Не ищем</v>
      </c>
      <c r="T123" s="4" t="str">
        <f ca="1">IF(COUNTIFS(OFFSET(D123:$Q123,0,SearchDay-1,,15-SearchDay),"&lt;="&amp; ValidC,OFFSET(D123:$Q123,0,SearchDay-1,,15-SearchDay),"&gt;-1")&gt;0,"Есть слот!","Ничего")</f>
        <v>Ничего</v>
      </c>
      <c r="U123">
        <f ca="1">IF(S123="Ищем",IF(StatTbl[[#This Row],[Доступность]]="Есть слот!",COUNTIFS(OFFSET(D123:$Q123,0,SearchDay-1),"&lt;="&amp; ValidC,OFFSET(D123:$Q123,0,SearchDay-1),"&gt;-1"),0),0)</f>
        <v>0</v>
      </c>
      <c r="V123" t="str" cm="1">
        <f t="array" aca="1" ref="V123" ca="1">IF(StatTbl[[#This Row],[Кол-во слотов]]&gt;0, B123&amp;" "&amp;C123&amp;" "&amp;_xlfn.TEXTJOIN(", ",FALSE,TEXT(_xlfn._xlws.FILTER(OFFSET($D$8:$Q$8,0,SearchDay-1,,15-SearchDay),(OFFSET(D123:Q123,0,SearchDay-1,,15-SearchDay)&gt;-1)*(OFFSET(D123:Q123,0,SearchDay-1,,15-SearchDay)&lt;=ValidC)),"ДД/ММ")),"")</f>
        <v/>
      </c>
      <c r="W123" t="str">
        <f t="shared" si="1"/>
        <v>СЦ АртемСуперсейф</v>
      </c>
      <c r="Y123" s="10"/>
      <c r="Z123" s="10"/>
      <c r="AA123" s="10"/>
      <c r="AB123" s="10"/>
    </row>
    <row r="124" spans="2:28" x14ac:dyDescent="0.45">
      <c r="B124" s="12" t="s">
        <v>34</v>
      </c>
      <c r="C124" s="12" t="s">
        <v>111</v>
      </c>
      <c r="D124" s="35">
        <v>20</v>
      </c>
      <c r="E124" s="35">
        <v>20</v>
      </c>
      <c r="F124" s="35">
        <v>20</v>
      </c>
      <c r="G124" s="35">
        <v>20</v>
      </c>
      <c r="H124" s="35">
        <v>20</v>
      </c>
      <c r="I124" s="35">
        <v>20</v>
      </c>
      <c r="J124" s="35">
        <v>20</v>
      </c>
      <c r="K124" s="35">
        <v>20</v>
      </c>
      <c r="L124" s="35">
        <v>20</v>
      </c>
      <c r="M124" s="35">
        <v>20</v>
      </c>
      <c r="N124" s="35">
        <v>20</v>
      </c>
      <c r="O124" s="35">
        <v>-1</v>
      </c>
      <c r="P124" s="35">
        <v>-1</v>
      </c>
      <c r="Q124" s="35">
        <v>-1</v>
      </c>
      <c r="S124" s="5" t="str">
        <f>IF(_xlfn.XLOOKUP(StatTbl[[#This Row],[Join]],TargetSlots[Join],TargetSlots[Join],"Не найдено")&lt;&gt;"Не найдено","Ищем","Не ищем")</f>
        <v>Не ищем</v>
      </c>
      <c r="T124" s="4" t="str">
        <f ca="1">IF(COUNTIFS(OFFSET(D124:$Q124,0,SearchDay-1,,15-SearchDay),"&lt;="&amp; ValidC,OFFSET(D124:$Q124,0,SearchDay-1,,15-SearchDay),"&gt;-1")&gt;0,"Есть слот!","Ничего")</f>
        <v>Ничего</v>
      </c>
      <c r="U124">
        <f ca="1">IF(S124="Ищем",IF(StatTbl[[#This Row],[Доступность]]="Есть слот!",COUNTIFS(OFFSET(D124:$Q124,0,SearchDay-1),"&lt;="&amp; ValidC,OFFSET(D124:$Q124,0,SearchDay-1),"&gt;-1"),0),0)</f>
        <v>0</v>
      </c>
      <c r="V124" t="str" cm="1">
        <f t="array" aca="1" ref="V124" ca="1">IF(StatTbl[[#This Row],[Кол-во слотов]]&gt;0, B124&amp;" "&amp;C124&amp;" "&amp;_xlfn.TEXTJOIN(", ",FALSE,TEXT(_xlfn._xlws.FILTER(OFFSET($D$8:$Q$8,0,SearchDay-1,,15-SearchDay),(OFFSET(D124:Q124,0,SearchDay-1,,15-SearchDay)&gt;-1)*(OFFSET(D124:Q124,0,SearchDay-1,,15-SearchDay)&lt;=ValidC)),"ДД/ММ")),"")</f>
        <v/>
      </c>
      <c r="W124" t="str">
        <f t="shared" si="1"/>
        <v>СЦ АртемQR-поставка</v>
      </c>
      <c r="Y124" s="10"/>
      <c r="Z124" s="10"/>
      <c r="AA124" s="10"/>
      <c r="AB124" s="10"/>
    </row>
    <row r="125" spans="2:28" x14ac:dyDescent="0.45">
      <c r="B125" s="12" t="s">
        <v>35</v>
      </c>
      <c r="C125" s="12" t="s">
        <v>109</v>
      </c>
      <c r="D125" s="35">
        <v>10</v>
      </c>
      <c r="E125" s="35">
        <v>10</v>
      </c>
      <c r="F125" s="35">
        <v>10</v>
      </c>
      <c r="G125" s="35">
        <v>10</v>
      </c>
      <c r="H125" s="35">
        <v>10</v>
      </c>
      <c r="I125" s="35">
        <v>10</v>
      </c>
      <c r="J125" s="35">
        <v>10</v>
      </c>
      <c r="K125" s="35">
        <v>10</v>
      </c>
      <c r="L125" s="35">
        <v>10</v>
      </c>
      <c r="M125" s="35">
        <v>10</v>
      </c>
      <c r="N125" s="35">
        <v>10</v>
      </c>
      <c r="O125" s="35">
        <v>10</v>
      </c>
      <c r="P125" s="35">
        <v>10</v>
      </c>
      <c r="Q125" s="35">
        <v>-1</v>
      </c>
      <c r="S125" s="5" t="str">
        <f>IF(_xlfn.XLOOKUP(StatTbl[[#This Row],[Join]],TargetSlots[Join],TargetSlots[Join],"Не найдено")&lt;&gt;"Не найдено","Ищем","Не ищем")</f>
        <v>Не ищем</v>
      </c>
      <c r="T125" s="4" t="str">
        <f ca="1">IF(COUNTIFS(OFFSET(D125:$Q125,0,SearchDay-1,,15-SearchDay),"&lt;="&amp; ValidC,OFFSET(D125:$Q125,0,SearchDay-1,,15-SearchDay),"&gt;-1")&gt;0,"Есть слот!","Ничего")</f>
        <v>Ничего</v>
      </c>
      <c r="U125">
        <f ca="1">IF(S125="Ищем",IF(StatTbl[[#This Row],[Доступность]]="Есть слот!",COUNTIFS(OFFSET(D125:$Q125,0,SearchDay-1),"&lt;="&amp; ValidC,OFFSET(D125:$Q125,0,SearchDay-1),"&gt;-1"),0),0)</f>
        <v>0</v>
      </c>
      <c r="V125" t="str" cm="1">
        <f t="array" aca="1" ref="V125" ca="1">IF(StatTbl[[#This Row],[Кол-во слотов]]&gt;0, B125&amp;" "&amp;C125&amp;" "&amp;_xlfn.TEXTJOIN(", ",FALSE,TEXT(_xlfn._xlws.FILTER(OFFSET($D$8:$Q$8,0,SearchDay-1,,15-SearchDay),(OFFSET(D125:Q125,0,SearchDay-1,,15-SearchDay)&gt;-1)*(OFFSET(D125:Q125,0,SearchDay-1,,15-SearchDay)&lt;=ValidC)),"ДД/ММ")),"")</f>
        <v/>
      </c>
      <c r="W125" t="str">
        <f t="shared" si="1"/>
        <v>СЦ Архангельск (ул Ленина)Короба</v>
      </c>
      <c r="Y125" s="10"/>
      <c r="Z125" s="10"/>
      <c r="AA125" s="10"/>
      <c r="AB125" s="10"/>
    </row>
    <row r="126" spans="2:28" x14ac:dyDescent="0.45">
      <c r="B126" s="12" t="s">
        <v>35</v>
      </c>
      <c r="C126" s="12" t="s">
        <v>110</v>
      </c>
      <c r="D126" s="35">
        <v>-1</v>
      </c>
      <c r="E126" s="35">
        <v>-1</v>
      </c>
      <c r="F126" s="35">
        <v>-1</v>
      </c>
      <c r="G126" s="35">
        <v>-1</v>
      </c>
      <c r="H126" s="35">
        <v>-1</v>
      </c>
      <c r="I126" s="35">
        <v>-1</v>
      </c>
      <c r="J126" s="35">
        <v>-1</v>
      </c>
      <c r="K126" s="35">
        <v>-1</v>
      </c>
      <c r="L126" s="35">
        <v>-1</v>
      </c>
      <c r="M126" s="35">
        <v>-1</v>
      </c>
      <c r="N126" s="35">
        <v>-1</v>
      </c>
      <c r="O126" s="35">
        <v>-1</v>
      </c>
      <c r="P126" s="35">
        <v>-1</v>
      </c>
      <c r="Q126" s="35">
        <v>-1</v>
      </c>
      <c r="S126" s="5" t="str">
        <f>IF(_xlfn.XLOOKUP(StatTbl[[#This Row],[Join]],TargetSlots[Join],TargetSlots[Join],"Не найдено")&lt;&gt;"Не найдено","Ищем","Не ищем")</f>
        <v>Не ищем</v>
      </c>
      <c r="T126" s="4" t="str">
        <f ca="1">IF(COUNTIFS(OFFSET(D126:$Q126,0,SearchDay-1,,15-SearchDay),"&lt;="&amp; ValidC,OFFSET(D126:$Q126,0,SearchDay-1,,15-SearchDay),"&gt;-1")&gt;0,"Есть слот!","Ничего")</f>
        <v>Ничего</v>
      </c>
      <c r="U126">
        <f ca="1">IF(S126="Ищем",IF(StatTbl[[#This Row],[Доступность]]="Есть слот!",COUNTIFS(OFFSET(D126:$Q126,0,SearchDay-1),"&lt;="&amp; ValidC,OFFSET(D126:$Q126,0,SearchDay-1),"&gt;-1"),0),0)</f>
        <v>0</v>
      </c>
      <c r="V126" t="str" cm="1">
        <f t="array" aca="1" ref="V126" ca="1">IF(StatTbl[[#This Row],[Кол-во слотов]]&gt;0, B126&amp;" "&amp;C126&amp;" "&amp;_xlfn.TEXTJOIN(", ",FALSE,TEXT(_xlfn._xlws.FILTER(OFFSET($D$8:$Q$8,0,SearchDay-1,,15-SearchDay),(OFFSET(D126:Q126,0,SearchDay-1,,15-SearchDay)&gt;-1)*(OFFSET(D126:Q126,0,SearchDay-1,,15-SearchDay)&lt;=ValidC)),"ДД/ММ")),"")</f>
        <v/>
      </c>
      <c r="W126" t="str">
        <f t="shared" si="1"/>
        <v>СЦ Архангельск (ул Ленина)Монопаллеты</v>
      </c>
      <c r="Y126" s="10"/>
      <c r="Z126" s="10"/>
      <c r="AA126" s="10"/>
      <c r="AB126" s="10"/>
    </row>
    <row r="127" spans="2:28" x14ac:dyDescent="0.45">
      <c r="B127" s="12" t="s">
        <v>35</v>
      </c>
      <c r="C127" s="12" t="s">
        <v>6</v>
      </c>
      <c r="D127" s="35">
        <v>-1</v>
      </c>
      <c r="E127" s="35">
        <v>-1</v>
      </c>
      <c r="F127" s="35">
        <v>-1</v>
      </c>
      <c r="G127" s="35">
        <v>-1</v>
      </c>
      <c r="H127" s="35">
        <v>-1</v>
      </c>
      <c r="I127" s="35">
        <v>-1</v>
      </c>
      <c r="J127" s="35">
        <v>-1</v>
      </c>
      <c r="K127" s="35">
        <v>-1</v>
      </c>
      <c r="L127" s="35">
        <v>-1</v>
      </c>
      <c r="M127" s="35">
        <v>-1</v>
      </c>
      <c r="N127" s="35">
        <v>-1</v>
      </c>
      <c r="O127" s="35">
        <v>-1</v>
      </c>
      <c r="P127" s="35">
        <v>-1</v>
      </c>
      <c r="Q127" s="35">
        <v>-1</v>
      </c>
      <c r="S127" s="5" t="str">
        <f>IF(_xlfn.XLOOKUP(StatTbl[[#This Row],[Join]],TargetSlots[Join],TargetSlots[Join],"Не найдено")&lt;&gt;"Не найдено","Ищем","Не ищем")</f>
        <v>Не ищем</v>
      </c>
      <c r="T127" s="4" t="str">
        <f ca="1">IF(COUNTIFS(OFFSET(D127:$Q127,0,SearchDay-1,,15-SearchDay),"&lt;="&amp; ValidC,OFFSET(D127:$Q127,0,SearchDay-1,,15-SearchDay),"&gt;-1")&gt;0,"Есть слот!","Ничего")</f>
        <v>Ничего</v>
      </c>
      <c r="U127">
        <f ca="1">IF(S127="Ищем",IF(StatTbl[[#This Row],[Доступность]]="Есть слот!",COUNTIFS(OFFSET(D127:$Q127,0,SearchDay-1),"&lt;="&amp; ValidC,OFFSET(D127:$Q127,0,SearchDay-1),"&gt;-1"),0),0)</f>
        <v>0</v>
      </c>
      <c r="V127" t="str" cm="1">
        <f t="array" aca="1" ref="V127" ca="1">IF(StatTbl[[#This Row],[Кол-во слотов]]&gt;0, B127&amp;" "&amp;C127&amp;" "&amp;_xlfn.TEXTJOIN(", ",FALSE,TEXT(_xlfn._xlws.FILTER(OFFSET($D$8:$Q$8,0,SearchDay-1,,15-SearchDay),(OFFSET(D127:Q127,0,SearchDay-1,,15-SearchDay)&gt;-1)*(OFFSET(D127:Q127,0,SearchDay-1,,15-SearchDay)&lt;=ValidC)),"ДД/ММ")),"")</f>
        <v/>
      </c>
      <c r="W127" t="str">
        <f t="shared" si="1"/>
        <v>СЦ Архангельск (ул Ленина)Суперсейф</v>
      </c>
      <c r="Y127" s="10"/>
      <c r="Z127" s="10"/>
      <c r="AA127" s="10"/>
      <c r="AB127" s="10"/>
    </row>
    <row r="128" spans="2:28" x14ac:dyDescent="0.45">
      <c r="B128" s="12" t="s">
        <v>35</v>
      </c>
      <c r="C128" s="12" t="s">
        <v>111</v>
      </c>
      <c r="D128" s="35">
        <v>10</v>
      </c>
      <c r="E128" s="35">
        <v>10</v>
      </c>
      <c r="F128" s="35">
        <v>10</v>
      </c>
      <c r="G128" s="35">
        <v>10</v>
      </c>
      <c r="H128" s="35">
        <v>10</v>
      </c>
      <c r="I128" s="35">
        <v>10</v>
      </c>
      <c r="J128" s="35">
        <v>10</v>
      </c>
      <c r="K128" s="35">
        <v>10</v>
      </c>
      <c r="L128" s="35">
        <v>10</v>
      </c>
      <c r="M128" s="35">
        <v>10</v>
      </c>
      <c r="N128" s="35">
        <v>10</v>
      </c>
      <c r="O128" s="35">
        <v>-1</v>
      </c>
      <c r="P128" s="35">
        <v>-1</v>
      </c>
      <c r="Q128" s="35">
        <v>-1</v>
      </c>
      <c r="S128" s="5" t="str">
        <f>IF(_xlfn.XLOOKUP(StatTbl[[#This Row],[Join]],TargetSlots[Join],TargetSlots[Join],"Не найдено")&lt;&gt;"Не найдено","Ищем","Не ищем")</f>
        <v>Не ищем</v>
      </c>
      <c r="T128" s="4" t="str">
        <f ca="1">IF(COUNTIFS(OFFSET(D128:$Q128,0,SearchDay-1,,15-SearchDay),"&lt;="&amp; ValidC,OFFSET(D128:$Q128,0,SearchDay-1,,15-SearchDay),"&gt;-1")&gt;0,"Есть слот!","Ничего")</f>
        <v>Ничего</v>
      </c>
      <c r="U128">
        <f ca="1">IF(S128="Ищем",IF(StatTbl[[#This Row],[Доступность]]="Есть слот!",COUNTIFS(OFFSET(D128:$Q128,0,SearchDay-1),"&lt;="&amp; ValidC,OFFSET(D128:$Q128,0,SearchDay-1),"&gt;-1"),0),0)</f>
        <v>0</v>
      </c>
      <c r="V128" t="str" cm="1">
        <f t="array" aca="1" ref="V128" ca="1">IF(StatTbl[[#This Row],[Кол-во слотов]]&gt;0, B128&amp;" "&amp;C128&amp;" "&amp;_xlfn.TEXTJOIN(", ",FALSE,TEXT(_xlfn._xlws.FILTER(OFFSET($D$8:$Q$8,0,SearchDay-1,,15-SearchDay),(OFFSET(D128:Q128,0,SearchDay-1,,15-SearchDay)&gt;-1)*(OFFSET(D128:Q128,0,SearchDay-1,,15-SearchDay)&lt;=ValidC)),"ДД/ММ")),"")</f>
        <v/>
      </c>
      <c r="W128" t="str">
        <f t="shared" si="1"/>
        <v>СЦ Архангельск (ул Ленина)QR-поставка</v>
      </c>
      <c r="Y128" s="10"/>
      <c r="Z128" s="10"/>
      <c r="AA128" s="10"/>
      <c r="AB128" s="10"/>
    </row>
    <row r="129" spans="2:28" x14ac:dyDescent="0.45">
      <c r="B129" s="12" t="s">
        <v>36</v>
      </c>
      <c r="C129" s="12" t="s">
        <v>109</v>
      </c>
      <c r="D129" s="35">
        <v>-1</v>
      </c>
      <c r="E129" s="35">
        <v>-1</v>
      </c>
      <c r="F129" s="35">
        <v>-1</v>
      </c>
      <c r="G129" s="35">
        <v>-1</v>
      </c>
      <c r="H129" s="35">
        <v>-1</v>
      </c>
      <c r="I129" s="35">
        <v>-1</v>
      </c>
      <c r="J129" s="35">
        <v>-1</v>
      </c>
      <c r="K129" s="35">
        <v>-1</v>
      </c>
      <c r="L129" s="35">
        <v>-1</v>
      </c>
      <c r="M129" s="35">
        <v>-1</v>
      </c>
      <c r="N129" s="35">
        <v>-1</v>
      </c>
      <c r="O129" s="35">
        <v>-1</v>
      </c>
      <c r="P129" s="35">
        <v>-1</v>
      </c>
      <c r="Q129" s="35">
        <v>-1</v>
      </c>
      <c r="S129" s="5" t="str">
        <f>IF(_xlfn.XLOOKUP(StatTbl[[#This Row],[Join]],TargetSlots[Join],TargetSlots[Join],"Не найдено")&lt;&gt;"Не найдено","Ищем","Не ищем")</f>
        <v>Не ищем</v>
      </c>
      <c r="T129" s="4" t="str">
        <f ca="1">IF(COUNTIFS(OFFSET(D129:$Q129,0,SearchDay-1,,15-SearchDay),"&lt;="&amp; ValidC,OFFSET(D129:$Q129,0,SearchDay-1,,15-SearchDay),"&gt;-1")&gt;0,"Есть слот!","Ничего")</f>
        <v>Ничего</v>
      </c>
      <c r="U129">
        <f ca="1">IF(S129="Ищем",IF(StatTbl[[#This Row],[Доступность]]="Есть слот!",COUNTIFS(OFFSET(D129:$Q129,0,SearchDay-1),"&lt;="&amp; ValidC,OFFSET(D129:$Q129,0,SearchDay-1),"&gt;-1"),0),0)</f>
        <v>0</v>
      </c>
      <c r="V129" t="str" cm="1">
        <f t="array" aca="1" ref="V129" ca="1">IF(StatTbl[[#This Row],[Кол-во слотов]]&gt;0, B129&amp;" "&amp;C129&amp;" "&amp;_xlfn.TEXTJOIN(", ",FALSE,TEXT(_xlfn._xlws.FILTER(OFFSET($D$8:$Q$8,0,SearchDay-1,,15-SearchDay),(OFFSET(D129:Q129,0,SearchDay-1,,15-SearchDay)&gt;-1)*(OFFSET(D129:Q129,0,SearchDay-1,,15-SearchDay)&lt;=ValidC)),"ДД/ММ")),"")</f>
        <v/>
      </c>
      <c r="W129" t="str">
        <f t="shared" si="1"/>
        <v>СЦ АстраханьКороба</v>
      </c>
      <c r="Y129" s="10"/>
      <c r="Z129" s="10"/>
      <c r="AA129" s="10"/>
      <c r="AB129" s="10"/>
    </row>
    <row r="130" spans="2:28" x14ac:dyDescent="0.45">
      <c r="B130" s="12" t="s">
        <v>36</v>
      </c>
      <c r="C130" s="12" t="s">
        <v>110</v>
      </c>
      <c r="D130" s="35">
        <v>-1</v>
      </c>
      <c r="E130" s="35">
        <v>-1</v>
      </c>
      <c r="F130" s="35">
        <v>-1</v>
      </c>
      <c r="G130" s="35">
        <v>-1</v>
      </c>
      <c r="H130" s="35">
        <v>-1</v>
      </c>
      <c r="I130" s="35">
        <v>-1</v>
      </c>
      <c r="J130" s="35">
        <v>-1</v>
      </c>
      <c r="K130" s="35">
        <v>-1</v>
      </c>
      <c r="L130" s="35">
        <v>-1</v>
      </c>
      <c r="M130" s="35">
        <v>-1</v>
      </c>
      <c r="N130" s="35">
        <v>-1</v>
      </c>
      <c r="O130" s="35">
        <v>-1</v>
      </c>
      <c r="P130" s="35">
        <v>-1</v>
      </c>
      <c r="Q130" s="35">
        <v>-1</v>
      </c>
      <c r="S130" s="5" t="str">
        <f>IF(_xlfn.XLOOKUP(StatTbl[[#This Row],[Join]],TargetSlots[Join],TargetSlots[Join],"Не найдено")&lt;&gt;"Не найдено","Ищем","Не ищем")</f>
        <v>Не ищем</v>
      </c>
      <c r="T130" s="4" t="str">
        <f ca="1">IF(COUNTIFS(OFFSET(D130:$Q130,0,SearchDay-1,,15-SearchDay),"&lt;="&amp; ValidC,OFFSET(D130:$Q130,0,SearchDay-1,,15-SearchDay),"&gt;-1")&gt;0,"Есть слот!","Ничего")</f>
        <v>Ничего</v>
      </c>
      <c r="U130">
        <f ca="1">IF(S130="Ищем",IF(StatTbl[[#This Row],[Доступность]]="Есть слот!",COUNTIFS(OFFSET(D130:$Q130,0,SearchDay-1),"&lt;="&amp; ValidC,OFFSET(D130:$Q130,0,SearchDay-1),"&gt;-1"),0),0)</f>
        <v>0</v>
      </c>
      <c r="V130" t="str" cm="1">
        <f t="array" aca="1" ref="V130" ca="1">IF(StatTbl[[#This Row],[Кол-во слотов]]&gt;0, B130&amp;" "&amp;C130&amp;" "&amp;_xlfn.TEXTJOIN(", ",FALSE,TEXT(_xlfn._xlws.FILTER(OFFSET($D$8:$Q$8,0,SearchDay-1,,15-SearchDay),(OFFSET(D130:Q130,0,SearchDay-1,,15-SearchDay)&gt;-1)*(OFFSET(D130:Q130,0,SearchDay-1,,15-SearchDay)&lt;=ValidC)),"ДД/ММ")),"")</f>
        <v/>
      </c>
      <c r="W130" t="str">
        <f t="shared" si="1"/>
        <v>СЦ АстраханьМонопаллеты</v>
      </c>
      <c r="Y130" s="10"/>
      <c r="Z130" s="10"/>
      <c r="AA130" s="10"/>
      <c r="AB130" s="10"/>
    </row>
    <row r="131" spans="2:28" x14ac:dyDescent="0.45">
      <c r="B131" s="12" t="s">
        <v>36</v>
      </c>
      <c r="C131" s="12" t="s">
        <v>6</v>
      </c>
      <c r="D131" s="35">
        <v>-1</v>
      </c>
      <c r="E131" s="35">
        <v>-1</v>
      </c>
      <c r="F131" s="35">
        <v>-1</v>
      </c>
      <c r="G131" s="35">
        <v>-1</v>
      </c>
      <c r="H131" s="35">
        <v>-1</v>
      </c>
      <c r="I131" s="35">
        <v>-1</v>
      </c>
      <c r="J131" s="35">
        <v>-1</v>
      </c>
      <c r="K131" s="35">
        <v>-1</v>
      </c>
      <c r="L131" s="35">
        <v>-1</v>
      </c>
      <c r="M131" s="35">
        <v>-1</v>
      </c>
      <c r="N131" s="35">
        <v>-1</v>
      </c>
      <c r="O131" s="35">
        <v>-1</v>
      </c>
      <c r="P131" s="35">
        <v>-1</v>
      </c>
      <c r="Q131" s="35">
        <v>-1</v>
      </c>
      <c r="S131" s="5" t="str">
        <f>IF(_xlfn.XLOOKUP(StatTbl[[#This Row],[Join]],TargetSlots[Join],TargetSlots[Join],"Не найдено")&lt;&gt;"Не найдено","Ищем","Не ищем")</f>
        <v>Не ищем</v>
      </c>
      <c r="T131" s="4" t="str">
        <f ca="1">IF(COUNTIFS(OFFSET(D131:$Q131,0,SearchDay-1,,15-SearchDay),"&lt;="&amp; ValidC,OFFSET(D131:$Q131,0,SearchDay-1,,15-SearchDay),"&gt;-1")&gt;0,"Есть слот!","Ничего")</f>
        <v>Ничего</v>
      </c>
      <c r="U131">
        <f ca="1">IF(S131="Ищем",IF(StatTbl[[#This Row],[Доступность]]="Есть слот!",COUNTIFS(OFFSET(D131:$Q131,0,SearchDay-1),"&lt;="&amp; ValidC,OFFSET(D131:$Q131,0,SearchDay-1),"&gt;-1"),0),0)</f>
        <v>0</v>
      </c>
      <c r="V131" t="str" cm="1">
        <f t="array" aca="1" ref="V131" ca="1">IF(StatTbl[[#This Row],[Кол-во слотов]]&gt;0, B131&amp;" "&amp;C131&amp;" "&amp;_xlfn.TEXTJOIN(", ",FALSE,TEXT(_xlfn._xlws.FILTER(OFFSET($D$8:$Q$8,0,SearchDay-1,,15-SearchDay),(OFFSET(D131:Q131,0,SearchDay-1,,15-SearchDay)&gt;-1)*(OFFSET(D131:Q131,0,SearchDay-1,,15-SearchDay)&lt;=ValidC)),"ДД/ММ")),"")</f>
        <v/>
      </c>
      <c r="W131" t="str">
        <f t="shared" si="1"/>
        <v>СЦ АстраханьСуперсейф</v>
      </c>
      <c r="Y131" s="10"/>
      <c r="Z131" s="10"/>
      <c r="AA131" s="10"/>
      <c r="AB131" s="10"/>
    </row>
    <row r="132" spans="2:28" x14ac:dyDescent="0.45">
      <c r="B132" s="12" t="s">
        <v>36</v>
      </c>
      <c r="C132" s="12" t="s">
        <v>111</v>
      </c>
      <c r="D132" s="35">
        <v>-1</v>
      </c>
      <c r="E132" s="35">
        <v>-1</v>
      </c>
      <c r="F132" s="35">
        <v>-1</v>
      </c>
      <c r="G132" s="35">
        <v>-1</v>
      </c>
      <c r="H132" s="35">
        <v>-1</v>
      </c>
      <c r="I132" s="35">
        <v>-1</v>
      </c>
      <c r="J132" s="35">
        <v>-1</v>
      </c>
      <c r="K132" s="35">
        <v>-1</v>
      </c>
      <c r="L132" s="35">
        <v>-1</v>
      </c>
      <c r="M132" s="35">
        <v>-1</v>
      </c>
      <c r="N132" s="35">
        <v>-1</v>
      </c>
      <c r="O132" s="35">
        <v>-1</v>
      </c>
      <c r="P132" s="35">
        <v>-1</v>
      </c>
      <c r="Q132" s="35">
        <v>-1</v>
      </c>
      <c r="S132" s="5" t="str">
        <f>IF(_xlfn.XLOOKUP(StatTbl[[#This Row],[Join]],TargetSlots[Join],TargetSlots[Join],"Не найдено")&lt;&gt;"Не найдено","Ищем","Не ищем")</f>
        <v>Не ищем</v>
      </c>
      <c r="T132" s="4" t="str">
        <f ca="1">IF(COUNTIFS(OFFSET(D132:$Q132,0,SearchDay-1,,15-SearchDay),"&lt;="&amp; ValidC,OFFSET(D132:$Q132,0,SearchDay-1,,15-SearchDay),"&gt;-1")&gt;0,"Есть слот!","Ничего")</f>
        <v>Ничего</v>
      </c>
      <c r="U132">
        <f ca="1">IF(S132="Ищем",IF(StatTbl[[#This Row],[Доступность]]="Есть слот!",COUNTIFS(OFFSET(D132:$Q132,0,SearchDay-1),"&lt;="&amp; ValidC,OFFSET(D132:$Q132,0,SearchDay-1),"&gt;-1"),0),0)</f>
        <v>0</v>
      </c>
      <c r="V132" t="str" cm="1">
        <f t="array" aca="1" ref="V132" ca="1">IF(StatTbl[[#This Row],[Кол-во слотов]]&gt;0, B132&amp;" "&amp;C132&amp;" "&amp;_xlfn.TEXTJOIN(", ",FALSE,TEXT(_xlfn._xlws.FILTER(OFFSET($D$8:$Q$8,0,SearchDay-1,,15-SearchDay),(OFFSET(D132:Q132,0,SearchDay-1,,15-SearchDay)&gt;-1)*(OFFSET(D132:Q132,0,SearchDay-1,,15-SearchDay)&lt;=ValidC)),"ДД/ММ")),"")</f>
        <v/>
      </c>
      <c r="W132" t="str">
        <f t="shared" si="1"/>
        <v>СЦ АстраханьQR-поставка</v>
      </c>
      <c r="Y132" s="10"/>
      <c r="Z132" s="10"/>
      <c r="AA132" s="10"/>
      <c r="AB132" s="10"/>
    </row>
    <row r="133" spans="2:28" x14ac:dyDescent="0.45">
      <c r="B133" s="12" t="s">
        <v>37</v>
      </c>
      <c r="C133" s="12" t="s">
        <v>109</v>
      </c>
      <c r="D133" s="35">
        <v>5</v>
      </c>
      <c r="E133" s="35">
        <v>20</v>
      </c>
      <c r="F133" s="35">
        <v>5</v>
      </c>
      <c r="G133" s="35">
        <v>5</v>
      </c>
      <c r="H133" s="35">
        <v>5</v>
      </c>
      <c r="I133" s="35">
        <v>20</v>
      </c>
      <c r="J133" s="35">
        <v>20</v>
      </c>
      <c r="K133" s="35">
        <v>20</v>
      </c>
      <c r="L133" s="35">
        <v>20</v>
      </c>
      <c r="M133" s="35">
        <v>20</v>
      </c>
      <c r="N133" s="35">
        <v>20</v>
      </c>
      <c r="O133" s="35">
        <v>20</v>
      </c>
      <c r="P133" s="35">
        <v>20</v>
      </c>
      <c r="Q133" s="35">
        <v>-1</v>
      </c>
      <c r="S133" s="5" t="str">
        <f>IF(_xlfn.XLOOKUP(StatTbl[[#This Row],[Join]],TargetSlots[Join],TargetSlots[Join],"Не найдено")&lt;&gt;"Не найдено","Ищем","Не ищем")</f>
        <v>Не ищем</v>
      </c>
      <c r="T133" s="4" t="str">
        <f ca="1">IF(COUNTIFS(OFFSET(D133:$Q133,0,SearchDay-1,,15-SearchDay),"&lt;="&amp; ValidC,OFFSET(D133:$Q133,0,SearchDay-1,,15-SearchDay),"&gt;-1")&gt;0,"Есть слот!","Ничего")</f>
        <v>Ничего</v>
      </c>
      <c r="U133">
        <f ca="1">IF(S133="Ищем",IF(StatTbl[[#This Row],[Доступность]]="Есть слот!",COUNTIFS(OFFSET(D133:$Q133,0,SearchDay-1),"&lt;="&amp; ValidC,OFFSET(D133:$Q133,0,SearchDay-1),"&gt;-1"),0),0)</f>
        <v>0</v>
      </c>
      <c r="V133" t="str" cm="1">
        <f t="array" aca="1" ref="V133" ca="1">IF(StatTbl[[#This Row],[Кол-во слотов]]&gt;0, B133&amp;" "&amp;C133&amp;" "&amp;_xlfn.TEXTJOIN(", ",FALSE,TEXT(_xlfn._xlws.FILTER(OFFSET($D$8:$Q$8,0,SearchDay-1,,15-SearchDay),(OFFSET(D133:Q133,0,SearchDay-1,,15-SearchDay)&gt;-1)*(OFFSET(D133:Q133,0,SearchDay-1,,15-SearchDay)&lt;=ValidC)),"ДД/ММ")),"")</f>
        <v/>
      </c>
      <c r="W133" t="str">
        <f t="shared" si="1"/>
        <v>СЦ Астрахань (Солянка)Короба</v>
      </c>
      <c r="Y133" s="10"/>
      <c r="Z133" s="10"/>
      <c r="AA133" s="10"/>
      <c r="AB133" s="10"/>
    </row>
    <row r="134" spans="2:28" x14ac:dyDescent="0.45">
      <c r="B134" s="12" t="s">
        <v>37</v>
      </c>
      <c r="C134" s="12" t="s">
        <v>110</v>
      </c>
      <c r="D134" s="35">
        <v>-1</v>
      </c>
      <c r="E134" s="35">
        <v>-1</v>
      </c>
      <c r="F134" s="35">
        <v>-1</v>
      </c>
      <c r="G134" s="35">
        <v>-1</v>
      </c>
      <c r="H134" s="35">
        <v>-1</v>
      </c>
      <c r="I134" s="35">
        <v>-1</v>
      </c>
      <c r="J134" s="35">
        <v>-1</v>
      </c>
      <c r="K134" s="35">
        <v>-1</v>
      </c>
      <c r="L134" s="35">
        <v>-1</v>
      </c>
      <c r="M134" s="35">
        <v>-1</v>
      </c>
      <c r="N134" s="35">
        <v>-1</v>
      </c>
      <c r="O134" s="35">
        <v>-1</v>
      </c>
      <c r="P134" s="35">
        <v>-1</v>
      </c>
      <c r="Q134" s="35">
        <v>-1</v>
      </c>
      <c r="S134" s="5" t="str">
        <f>IF(_xlfn.XLOOKUP(StatTbl[[#This Row],[Join]],TargetSlots[Join],TargetSlots[Join],"Не найдено")&lt;&gt;"Не найдено","Ищем","Не ищем")</f>
        <v>Не ищем</v>
      </c>
      <c r="T134" s="4" t="str">
        <f ca="1">IF(COUNTIFS(OFFSET(D134:$Q134,0,SearchDay-1,,15-SearchDay),"&lt;="&amp; ValidC,OFFSET(D134:$Q134,0,SearchDay-1,,15-SearchDay),"&gt;-1")&gt;0,"Есть слот!","Ничего")</f>
        <v>Ничего</v>
      </c>
      <c r="U134">
        <f ca="1">IF(S134="Ищем",IF(StatTbl[[#This Row],[Доступность]]="Есть слот!",COUNTIFS(OFFSET(D134:$Q134,0,SearchDay-1),"&lt;="&amp; ValidC,OFFSET(D134:$Q134,0,SearchDay-1),"&gt;-1"),0),0)</f>
        <v>0</v>
      </c>
      <c r="V134" t="str" cm="1">
        <f t="array" aca="1" ref="V134" ca="1">IF(StatTbl[[#This Row],[Кол-во слотов]]&gt;0, B134&amp;" "&amp;C134&amp;" "&amp;_xlfn.TEXTJOIN(", ",FALSE,TEXT(_xlfn._xlws.FILTER(OFFSET($D$8:$Q$8,0,SearchDay-1,,15-SearchDay),(OFFSET(D134:Q134,0,SearchDay-1,,15-SearchDay)&gt;-1)*(OFFSET(D134:Q134,0,SearchDay-1,,15-SearchDay)&lt;=ValidC)),"ДД/ММ")),"")</f>
        <v/>
      </c>
      <c r="W134" t="str">
        <f t="shared" si="1"/>
        <v>СЦ Астрахань (Солянка)Монопаллеты</v>
      </c>
      <c r="Y134" s="10"/>
      <c r="Z134" s="10"/>
      <c r="AA134" s="10"/>
      <c r="AB134" s="10"/>
    </row>
    <row r="135" spans="2:28" x14ac:dyDescent="0.45">
      <c r="B135" s="12" t="s">
        <v>37</v>
      </c>
      <c r="C135" s="12" t="s">
        <v>6</v>
      </c>
      <c r="D135" s="35">
        <v>-1</v>
      </c>
      <c r="E135" s="35">
        <v>-1</v>
      </c>
      <c r="F135" s="35">
        <v>-1</v>
      </c>
      <c r="G135" s="35">
        <v>-1</v>
      </c>
      <c r="H135" s="35">
        <v>-1</v>
      </c>
      <c r="I135" s="35">
        <v>-1</v>
      </c>
      <c r="J135" s="35">
        <v>-1</v>
      </c>
      <c r="K135" s="35">
        <v>-1</v>
      </c>
      <c r="L135" s="35">
        <v>-1</v>
      </c>
      <c r="M135" s="35">
        <v>-1</v>
      </c>
      <c r="N135" s="35">
        <v>-1</v>
      </c>
      <c r="O135" s="35">
        <v>-1</v>
      </c>
      <c r="P135" s="35">
        <v>-1</v>
      </c>
      <c r="Q135" s="35">
        <v>-1</v>
      </c>
      <c r="S135" s="5" t="str">
        <f>IF(_xlfn.XLOOKUP(StatTbl[[#This Row],[Join]],TargetSlots[Join],TargetSlots[Join],"Не найдено")&lt;&gt;"Не найдено","Ищем","Не ищем")</f>
        <v>Не ищем</v>
      </c>
      <c r="T135" s="4" t="str">
        <f ca="1">IF(COUNTIFS(OFFSET(D135:$Q135,0,SearchDay-1,,15-SearchDay),"&lt;="&amp; ValidC,OFFSET(D135:$Q135,0,SearchDay-1,,15-SearchDay),"&gt;-1")&gt;0,"Есть слот!","Ничего")</f>
        <v>Ничего</v>
      </c>
      <c r="U135">
        <f ca="1">IF(S135="Ищем",IF(StatTbl[[#This Row],[Доступность]]="Есть слот!",COUNTIFS(OFFSET(D135:$Q135,0,SearchDay-1),"&lt;="&amp; ValidC,OFFSET(D135:$Q135,0,SearchDay-1),"&gt;-1"),0),0)</f>
        <v>0</v>
      </c>
      <c r="V135" t="str" cm="1">
        <f t="array" aca="1" ref="V135" ca="1">IF(StatTbl[[#This Row],[Кол-во слотов]]&gt;0, B135&amp;" "&amp;C135&amp;" "&amp;_xlfn.TEXTJOIN(", ",FALSE,TEXT(_xlfn._xlws.FILTER(OFFSET($D$8:$Q$8,0,SearchDay-1,,15-SearchDay),(OFFSET(D135:Q135,0,SearchDay-1,,15-SearchDay)&gt;-1)*(OFFSET(D135:Q135,0,SearchDay-1,,15-SearchDay)&lt;=ValidC)),"ДД/ММ")),"")</f>
        <v/>
      </c>
      <c r="W135" t="str">
        <f t="shared" si="1"/>
        <v>СЦ Астрахань (Солянка)Суперсейф</v>
      </c>
      <c r="Y135" s="10"/>
      <c r="Z135" s="10"/>
      <c r="AA135" s="10"/>
      <c r="AB135" s="10"/>
    </row>
    <row r="136" spans="2:28" x14ac:dyDescent="0.45">
      <c r="B136" s="12" t="s">
        <v>37</v>
      </c>
      <c r="C136" s="12" t="s">
        <v>111</v>
      </c>
      <c r="D136" s="35">
        <v>-1</v>
      </c>
      <c r="E136" s="35">
        <v>-1</v>
      </c>
      <c r="F136" s="35">
        <v>-1</v>
      </c>
      <c r="G136" s="35">
        <v>-1</v>
      </c>
      <c r="H136" s="35">
        <v>-1</v>
      </c>
      <c r="I136" s="35">
        <v>-1</v>
      </c>
      <c r="J136" s="35">
        <v>-1</v>
      </c>
      <c r="K136" s="35">
        <v>-1</v>
      </c>
      <c r="L136" s="35">
        <v>-1</v>
      </c>
      <c r="M136" s="35">
        <v>-1</v>
      </c>
      <c r="N136" s="35">
        <v>-1</v>
      </c>
      <c r="O136" s="35">
        <v>-1</v>
      </c>
      <c r="P136" s="35">
        <v>-1</v>
      </c>
      <c r="Q136" s="35">
        <v>-1</v>
      </c>
      <c r="S136" s="5" t="str">
        <f>IF(_xlfn.XLOOKUP(StatTbl[[#This Row],[Join]],TargetSlots[Join],TargetSlots[Join],"Не найдено")&lt;&gt;"Не найдено","Ищем","Не ищем")</f>
        <v>Не ищем</v>
      </c>
      <c r="T136" s="4" t="str">
        <f ca="1">IF(COUNTIFS(OFFSET(D136:$Q136,0,SearchDay-1,,15-SearchDay),"&lt;="&amp; ValidC,OFFSET(D136:$Q136,0,SearchDay-1,,15-SearchDay),"&gt;-1")&gt;0,"Есть слот!","Ничего")</f>
        <v>Ничего</v>
      </c>
      <c r="U136">
        <f ca="1">IF(S136="Ищем",IF(StatTbl[[#This Row],[Доступность]]="Есть слот!",COUNTIFS(OFFSET(D136:$Q136,0,SearchDay-1),"&lt;="&amp; ValidC,OFFSET(D136:$Q136,0,SearchDay-1),"&gt;-1"),0),0)</f>
        <v>0</v>
      </c>
      <c r="V136" t="str" cm="1">
        <f t="array" aca="1" ref="V136" ca="1">IF(StatTbl[[#This Row],[Кол-во слотов]]&gt;0, B136&amp;" "&amp;C136&amp;" "&amp;_xlfn.TEXTJOIN(", ",FALSE,TEXT(_xlfn._xlws.FILTER(OFFSET($D$8:$Q$8,0,SearchDay-1,,15-SearchDay),(OFFSET(D136:Q136,0,SearchDay-1,,15-SearchDay)&gt;-1)*(OFFSET(D136:Q136,0,SearchDay-1,,15-SearchDay)&lt;=ValidC)),"ДД/ММ")),"")</f>
        <v/>
      </c>
      <c r="W136" t="str">
        <f t="shared" si="1"/>
        <v>СЦ Астрахань (Солянка)QR-поставка</v>
      </c>
      <c r="Y136" s="10"/>
      <c r="Z136" s="10"/>
      <c r="AA136" s="10"/>
      <c r="AB136" s="10"/>
    </row>
    <row r="137" spans="2:28" x14ac:dyDescent="0.45">
      <c r="B137" s="12" t="s">
        <v>38</v>
      </c>
      <c r="C137" s="12" t="s">
        <v>109</v>
      </c>
      <c r="D137" s="35">
        <v>-1</v>
      </c>
      <c r="E137" s="35">
        <v>-1</v>
      </c>
      <c r="F137" s="35">
        <v>-1</v>
      </c>
      <c r="G137" s="35">
        <v>-1</v>
      </c>
      <c r="H137" s="35">
        <v>-1</v>
      </c>
      <c r="I137" s="35">
        <v>-1</v>
      </c>
      <c r="J137" s="35">
        <v>-1</v>
      </c>
      <c r="K137" s="35">
        <v>-1</v>
      </c>
      <c r="L137" s="35">
        <v>-1</v>
      </c>
      <c r="M137" s="35">
        <v>-1</v>
      </c>
      <c r="N137" s="35">
        <v>-1</v>
      </c>
      <c r="O137" s="35">
        <v>-1</v>
      </c>
      <c r="P137" s="35">
        <v>-1</v>
      </c>
      <c r="Q137" s="35">
        <v>-1</v>
      </c>
      <c r="S137" s="5" t="str">
        <f>IF(_xlfn.XLOOKUP(StatTbl[[#This Row],[Join]],TargetSlots[Join],TargetSlots[Join],"Не найдено")&lt;&gt;"Не найдено","Ищем","Не ищем")</f>
        <v>Не ищем</v>
      </c>
      <c r="T137" s="4" t="str">
        <f ca="1">IF(COUNTIFS(OFFSET(D137:$Q137,0,SearchDay-1,,15-SearchDay),"&lt;="&amp; ValidC,OFFSET(D137:$Q137,0,SearchDay-1,,15-SearchDay),"&gt;-1")&gt;0,"Есть слот!","Ничего")</f>
        <v>Ничего</v>
      </c>
      <c r="U137">
        <f ca="1">IF(S137="Ищем",IF(StatTbl[[#This Row],[Доступность]]="Есть слот!",COUNTIFS(OFFSET(D137:$Q137,0,SearchDay-1),"&lt;="&amp; ValidC,OFFSET(D137:$Q137,0,SearchDay-1),"&gt;-1"),0),0)</f>
        <v>0</v>
      </c>
      <c r="V137" t="str" cm="1">
        <f t="array" aca="1" ref="V137" ca="1">IF(StatTbl[[#This Row],[Кол-во слотов]]&gt;0, B137&amp;" "&amp;C137&amp;" "&amp;_xlfn.TEXTJOIN(", ",FALSE,TEXT(_xlfn._xlws.FILTER(OFFSET($D$8:$Q$8,0,SearchDay-1,,15-SearchDay),(OFFSET(D137:Q137,0,SearchDay-1,,15-SearchDay)&gt;-1)*(OFFSET(D137:Q137,0,SearchDay-1,,15-SearchDay)&lt;=ValidC)),"ДД/ММ")),"")</f>
        <v/>
      </c>
      <c r="W137" t="str">
        <f t="shared" ref="W137:W200" si="2">B137&amp;C137</f>
        <v>СЦ БайсеркеКороба</v>
      </c>
      <c r="Y137" s="10"/>
      <c r="Z137" s="10"/>
      <c r="AA137" s="10"/>
      <c r="AB137" s="10"/>
    </row>
    <row r="138" spans="2:28" x14ac:dyDescent="0.45">
      <c r="B138" s="12" t="s">
        <v>38</v>
      </c>
      <c r="C138" s="12" t="s">
        <v>110</v>
      </c>
      <c r="D138" s="35">
        <v>0</v>
      </c>
      <c r="E138" s="35">
        <v>0</v>
      </c>
      <c r="F138" s="35">
        <v>0</v>
      </c>
      <c r="G138" s="35">
        <v>0</v>
      </c>
      <c r="H138" s="35">
        <v>0</v>
      </c>
      <c r="I138" s="35">
        <v>20</v>
      </c>
      <c r="J138" s="35">
        <v>20</v>
      </c>
      <c r="K138" s="35">
        <v>20</v>
      </c>
      <c r="L138" s="35">
        <v>20</v>
      </c>
      <c r="M138" s="35">
        <v>20</v>
      </c>
      <c r="N138" s="35">
        <v>0</v>
      </c>
      <c r="O138" s="35">
        <v>0</v>
      </c>
      <c r="P138" s="35">
        <v>0</v>
      </c>
      <c r="Q138" s="35">
        <v>-1</v>
      </c>
      <c r="S138" s="5" t="str">
        <f>IF(_xlfn.XLOOKUP(StatTbl[[#This Row],[Join]],TargetSlots[Join],TargetSlots[Join],"Не найдено")&lt;&gt;"Не найдено","Ищем","Не ищем")</f>
        <v>Не ищем</v>
      </c>
      <c r="T138" s="4" t="str">
        <f ca="1">IF(COUNTIFS(OFFSET(D138:$Q138,0,SearchDay-1,,15-SearchDay),"&lt;="&amp; ValidC,OFFSET(D138:$Q138,0,SearchDay-1,,15-SearchDay),"&gt;-1")&gt;0,"Есть слот!","Ничего")</f>
        <v>Есть слот!</v>
      </c>
      <c r="U138">
        <f ca="1">IF(S138="Ищем",IF(StatTbl[[#This Row],[Доступность]]="Есть слот!",COUNTIFS(OFFSET(D138:$Q138,0,SearchDay-1),"&lt;="&amp; ValidC,OFFSET(D138:$Q138,0,SearchDay-1),"&gt;-1"),0),0)</f>
        <v>0</v>
      </c>
      <c r="V138" t="str" cm="1">
        <f t="array" aca="1" ref="V138" ca="1">IF(StatTbl[[#This Row],[Кол-во слотов]]&gt;0, B138&amp;" "&amp;C138&amp;" "&amp;_xlfn.TEXTJOIN(", ",FALSE,TEXT(_xlfn._xlws.FILTER(OFFSET($D$8:$Q$8,0,SearchDay-1,,15-SearchDay),(OFFSET(D138:Q138,0,SearchDay-1,,15-SearchDay)&gt;-1)*(OFFSET(D138:Q138,0,SearchDay-1,,15-SearchDay)&lt;=ValidC)),"ДД/ММ")),"")</f>
        <v/>
      </c>
      <c r="W138" t="str">
        <f t="shared" si="2"/>
        <v>СЦ БайсеркеМонопаллеты</v>
      </c>
      <c r="Y138" s="10"/>
      <c r="Z138" s="10"/>
      <c r="AA138" s="10"/>
      <c r="AB138" s="10"/>
    </row>
    <row r="139" spans="2:28" x14ac:dyDescent="0.45">
      <c r="B139" s="12" t="s">
        <v>38</v>
      </c>
      <c r="C139" s="12" t="s">
        <v>6</v>
      </c>
      <c r="D139" s="35">
        <v>-1</v>
      </c>
      <c r="E139" s="35">
        <v>-1</v>
      </c>
      <c r="F139" s="35">
        <v>-1</v>
      </c>
      <c r="G139" s="35">
        <v>-1</v>
      </c>
      <c r="H139" s="35">
        <v>-1</v>
      </c>
      <c r="I139" s="35">
        <v>-1</v>
      </c>
      <c r="J139" s="35">
        <v>-1</v>
      </c>
      <c r="K139" s="35">
        <v>-1</v>
      </c>
      <c r="L139" s="35">
        <v>-1</v>
      </c>
      <c r="M139" s="35">
        <v>-1</v>
      </c>
      <c r="N139" s="35">
        <v>-1</v>
      </c>
      <c r="O139" s="35">
        <v>-1</v>
      </c>
      <c r="P139" s="35">
        <v>-1</v>
      </c>
      <c r="Q139" s="35">
        <v>-1</v>
      </c>
      <c r="S139" s="5" t="str">
        <f>IF(_xlfn.XLOOKUP(StatTbl[[#This Row],[Join]],TargetSlots[Join],TargetSlots[Join],"Не найдено")&lt;&gt;"Не найдено","Ищем","Не ищем")</f>
        <v>Не ищем</v>
      </c>
      <c r="T139" s="4" t="str">
        <f ca="1">IF(COUNTIFS(OFFSET(D139:$Q139,0,SearchDay-1,,15-SearchDay),"&lt;="&amp; ValidC,OFFSET(D139:$Q139,0,SearchDay-1,,15-SearchDay),"&gt;-1")&gt;0,"Есть слот!","Ничего")</f>
        <v>Ничего</v>
      </c>
      <c r="U139">
        <f ca="1">IF(S139="Ищем",IF(StatTbl[[#This Row],[Доступность]]="Есть слот!",COUNTIFS(OFFSET(D139:$Q139,0,SearchDay-1),"&lt;="&amp; ValidC,OFFSET(D139:$Q139,0,SearchDay-1),"&gt;-1"),0),0)</f>
        <v>0</v>
      </c>
      <c r="V139" t="str" cm="1">
        <f t="array" aca="1" ref="V139" ca="1">IF(StatTbl[[#This Row],[Кол-во слотов]]&gt;0, B139&amp;" "&amp;C139&amp;" "&amp;_xlfn.TEXTJOIN(", ",FALSE,TEXT(_xlfn._xlws.FILTER(OFFSET($D$8:$Q$8,0,SearchDay-1,,15-SearchDay),(OFFSET(D139:Q139,0,SearchDay-1,,15-SearchDay)&gt;-1)*(OFFSET(D139:Q139,0,SearchDay-1,,15-SearchDay)&lt;=ValidC)),"ДД/ММ")),"")</f>
        <v/>
      </c>
      <c r="W139" t="str">
        <f t="shared" si="2"/>
        <v>СЦ БайсеркеСуперсейф</v>
      </c>
      <c r="Y139" s="10"/>
      <c r="Z139" s="10"/>
      <c r="AA139" s="10"/>
      <c r="AB139" s="10"/>
    </row>
    <row r="140" spans="2:28" x14ac:dyDescent="0.45">
      <c r="B140" s="12" t="s">
        <v>38</v>
      </c>
      <c r="C140" s="12" t="s">
        <v>111</v>
      </c>
      <c r="D140" s="35">
        <v>-1</v>
      </c>
      <c r="E140" s="35">
        <v>-1</v>
      </c>
      <c r="F140" s="35">
        <v>-1</v>
      </c>
      <c r="G140" s="35">
        <v>-1</v>
      </c>
      <c r="H140" s="35">
        <v>-1</v>
      </c>
      <c r="I140" s="35">
        <v>-1</v>
      </c>
      <c r="J140" s="35">
        <v>-1</v>
      </c>
      <c r="K140" s="35">
        <v>-1</v>
      </c>
      <c r="L140" s="35">
        <v>-1</v>
      </c>
      <c r="M140" s="35">
        <v>-1</v>
      </c>
      <c r="N140" s="35">
        <v>-1</v>
      </c>
      <c r="O140" s="35">
        <v>-1</v>
      </c>
      <c r="P140" s="35">
        <v>-1</v>
      </c>
      <c r="Q140" s="35">
        <v>-1</v>
      </c>
      <c r="S140" s="5" t="str">
        <f>IF(_xlfn.XLOOKUP(StatTbl[[#This Row],[Join]],TargetSlots[Join],TargetSlots[Join],"Не найдено")&lt;&gt;"Не найдено","Ищем","Не ищем")</f>
        <v>Не ищем</v>
      </c>
      <c r="T140" s="4" t="str">
        <f ca="1">IF(COUNTIFS(OFFSET(D140:$Q140,0,SearchDay-1,,15-SearchDay),"&lt;="&amp; ValidC,OFFSET(D140:$Q140,0,SearchDay-1,,15-SearchDay),"&gt;-1")&gt;0,"Есть слот!","Ничего")</f>
        <v>Ничего</v>
      </c>
      <c r="U140">
        <f ca="1">IF(S140="Ищем",IF(StatTbl[[#This Row],[Доступность]]="Есть слот!",COUNTIFS(OFFSET(D140:$Q140,0,SearchDay-1),"&lt;="&amp; ValidC,OFFSET(D140:$Q140,0,SearchDay-1),"&gt;-1"),0),0)</f>
        <v>0</v>
      </c>
      <c r="V140" t="str" cm="1">
        <f t="array" aca="1" ref="V140" ca="1">IF(StatTbl[[#This Row],[Кол-во слотов]]&gt;0, B140&amp;" "&amp;C140&amp;" "&amp;_xlfn.TEXTJOIN(", ",FALSE,TEXT(_xlfn._xlws.FILTER(OFFSET($D$8:$Q$8,0,SearchDay-1,,15-SearchDay),(OFFSET(D140:Q140,0,SearchDay-1,,15-SearchDay)&gt;-1)*(OFFSET(D140:Q140,0,SearchDay-1,,15-SearchDay)&lt;=ValidC)),"ДД/ММ")),"")</f>
        <v/>
      </c>
      <c r="W140" t="str">
        <f t="shared" si="2"/>
        <v>СЦ БайсеркеQR-поставка</v>
      </c>
      <c r="Y140" s="10"/>
      <c r="Z140" s="10"/>
      <c r="AA140" s="10"/>
      <c r="AB140" s="10"/>
    </row>
    <row r="141" spans="2:28" x14ac:dyDescent="0.45">
      <c r="B141" s="12" t="s">
        <v>39</v>
      </c>
      <c r="C141" s="12" t="s">
        <v>109</v>
      </c>
      <c r="D141" s="35">
        <v>20</v>
      </c>
      <c r="E141" s="35">
        <v>20</v>
      </c>
      <c r="F141" s="35">
        <v>20</v>
      </c>
      <c r="G141" s="35">
        <v>20</v>
      </c>
      <c r="H141" s="35">
        <v>20</v>
      </c>
      <c r="I141" s="35">
        <v>20</v>
      </c>
      <c r="J141" s="35">
        <v>20</v>
      </c>
      <c r="K141" s="35">
        <v>20</v>
      </c>
      <c r="L141" s="35">
        <v>20</v>
      </c>
      <c r="M141" s="35">
        <v>20</v>
      </c>
      <c r="N141" s="35">
        <v>20</v>
      </c>
      <c r="O141" s="35">
        <v>20</v>
      </c>
      <c r="P141" s="35">
        <v>20</v>
      </c>
      <c r="Q141" s="35">
        <v>-1</v>
      </c>
      <c r="S141" s="5" t="str">
        <f>IF(_xlfn.XLOOKUP(StatTbl[[#This Row],[Join]],TargetSlots[Join],TargetSlots[Join],"Не найдено")&lt;&gt;"Не найдено","Ищем","Не ищем")</f>
        <v>Не ищем</v>
      </c>
      <c r="T141" s="4" t="str">
        <f ca="1">IF(COUNTIFS(OFFSET(D141:$Q141,0,SearchDay-1,,15-SearchDay),"&lt;="&amp; ValidC,OFFSET(D141:$Q141,0,SearchDay-1,,15-SearchDay),"&gt;-1")&gt;0,"Есть слот!","Ничего")</f>
        <v>Ничего</v>
      </c>
      <c r="U141">
        <f ca="1">IF(S141="Ищем",IF(StatTbl[[#This Row],[Доступность]]="Есть слот!",COUNTIFS(OFFSET(D141:$Q141,0,SearchDay-1),"&lt;="&amp; ValidC,OFFSET(D141:$Q141,0,SearchDay-1),"&gt;-1"),0),0)</f>
        <v>0</v>
      </c>
      <c r="V141" t="str" cm="1">
        <f t="array" aca="1" ref="V141" ca="1">IF(StatTbl[[#This Row],[Кол-во слотов]]&gt;0, B141&amp;" "&amp;C141&amp;" "&amp;_xlfn.TEXTJOIN(", ",FALSE,TEXT(_xlfn._xlws.FILTER(OFFSET($D$8:$Q$8,0,SearchDay-1,,15-SearchDay),(OFFSET(D141:Q141,0,SearchDay-1,,15-SearchDay)&gt;-1)*(OFFSET(D141:Q141,0,SearchDay-1,,15-SearchDay)&lt;=ValidC)),"ДД/ММ")),"")</f>
        <v/>
      </c>
      <c r="W141" t="str">
        <f t="shared" si="2"/>
        <v>СЦ БарнаулКороба</v>
      </c>
      <c r="Y141" s="10"/>
      <c r="Z141" s="10"/>
      <c r="AA141" s="10"/>
      <c r="AB141" s="10"/>
    </row>
    <row r="142" spans="2:28" x14ac:dyDescent="0.45">
      <c r="B142" s="12" t="s">
        <v>39</v>
      </c>
      <c r="C142" s="12" t="s">
        <v>110</v>
      </c>
      <c r="D142" s="35">
        <v>-1</v>
      </c>
      <c r="E142" s="35">
        <v>-1</v>
      </c>
      <c r="F142" s="35">
        <v>-1</v>
      </c>
      <c r="G142" s="35">
        <v>-1</v>
      </c>
      <c r="H142" s="35">
        <v>-1</v>
      </c>
      <c r="I142" s="35">
        <v>-1</v>
      </c>
      <c r="J142" s="35">
        <v>-1</v>
      </c>
      <c r="K142" s="35">
        <v>-1</v>
      </c>
      <c r="L142" s="35">
        <v>-1</v>
      </c>
      <c r="M142" s="35">
        <v>-1</v>
      </c>
      <c r="N142" s="35">
        <v>-1</v>
      </c>
      <c r="O142" s="35">
        <v>-1</v>
      </c>
      <c r="P142" s="35">
        <v>-1</v>
      </c>
      <c r="Q142" s="35">
        <v>-1</v>
      </c>
      <c r="S142" s="5" t="str">
        <f>IF(_xlfn.XLOOKUP(StatTbl[[#This Row],[Join]],TargetSlots[Join],TargetSlots[Join],"Не найдено")&lt;&gt;"Не найдено","Ищем","Не ищем")</f>
        <v>Не ищем</v>
      </c>
      <c r="T142" s="4" t="str">
        <f ca="1">IF(COUNTIFS(OFFSET(D142:$Q142,0,SearchDay-1,,15-SearchDay),"&lt;="&amp; ValidC,OFFSET(D142:$Q142,0,SearchDay-1,,15-SearchDay),"&gt;-1")&gt;0,"Есть слот!","Ничего")</f>
        <v>Ничего</v>
      </c>
      <c r="U142">
        <f ca="1">IF(S142="Ищем",IF(StatTbl[[#This Row],[Доступность]]="Есть слот!",COUNTIFS(OFFSET(D142:$Q142,0,SearchDay-1),"&lt;="&amp; ValidC,OFFSET(D142:$Q142,0,SearchDay-1),"&gt;-1"),0),0)</f>
        <v>0</v>
      </c>
      <c r="V142" t="str" cm="1">
        <f t="array" aca="1" ref="V142" ca="1">IF(StatTbl[[#This Row],[Кол-во слотов]]&gt;0, B142&amp;" "&amp;C142&amp;" "&amp;_xlfn.TEXTJOIN(", ",FALSE,TEXT(_xlfn._xlws.FILTER(OFFSET($D$8:$Q$8,0,SearchDay-1,,15-SearchDay),(OFFSET(D142:Q142,0,SearchDay-1,,15-SearchDay)&gt;-1)*(OFFSET(D142:Q142,0,SearchDay-1,,15-SearchDay)&lt;=ValidC)),"ДД/ММ")),"")</f>
        <v/>
      </c>
      <c r="W142" t="str">
        <f t="shared" si="2"/>
        <v>СЦ БарнаулМонопаллеты</v>
      </c>
      <c r="Y142" s="10"/>
      <c r="Z142" s="10"/>
      <c r="AA142" s="10"/>
      <c r="AB142" s="10"/>
    </row>
    <row r="143" spans="2:28" x14ac:dyDescent="0.45">
      <c r="B143" s="12" t="s">
        <v>39</v>
      </c>
      <c r="C143" s="12" t="s">
        <v>6</v>
      </c>
      <c r="D143" s="35">
        <v>-1</v>
      </c>
      <c r="E143" s="35">
        <v>-1</v>
      </c>
      <c r="F143" s="35">
        <v>-1</v>
      </c>
      <c r="G143" s="35">
        <v>-1</v>
      </c>
      <c r="H143" s="35">
        <v>-1</v>
      </c>
      <c r="I143" s="35">
        <v>-1</v>
      </c>
      <c r="J143" s="35">
        <v>-1</v>
      </c>
      <c r="K143" s="35">
        <v>-1</v>
      </c>
      <c r="L143" s="35">
        <v>-1</v>
      </c>
      <c r="M143" s="35">
        <v>-1</v>
      </c>
      <c r="N143" s="35">
        <v>-1</v>
      </c>
      <c r="O143" s="35">
        <v>-1</v>
      </c>
      <c r="P143" s="35">
        <v>-1</v>
      </c>
      <c r="Q143" s="35">
        <v>-1</v>
      </c>
      <c r="S143" s="5" t="str">
        <f>IF(_xlfn.XLOOKUP(StatTbl[[#This Row],[Join]],TargetSlots[Join],TargetSlots[Join],"Не найдено")&lt;&gt;"Не найдено","Ищем","Не ищем")</f>
        <v>Не ищем</v>
      </c>
      <c r="T143" s="4" t="str">
        <f ca="1">IF(COUNTIFS(OFFSET(D143:$Q143,0,SearchDay-1,,15-SearchDay),"&lt;="&amp; ValidC,OFFSET(D143:$Q143,0,SearchDay-1,,15-SearchDay),"&gt;-1")&gt;0,"Есть слот!","Ничего")</f>
        <v>Ничего</v>
      </c>
      <c r="U143">
        <f ca="1">IF(S143="Ищем",IF(StatTbl[[#This Row],[Доступность]]="Есть слот!",COUNTIFS(OFFSET(D143:$Q143,0,SearchDay-1),"&lt;="&amp; ValidC,OFFSET(D143:$Q143,0,SearchDay-1),"&gt;-1"),0),0)</f>
        <v>0</v>
      </c>
      <c r="V143" t="str" cm="1">
        <f t="array" aca="1" ref="V143" ca="1">IF(StatTbl[[#This Row],[Кол-во слотов]]&gt;0, B143&amp;" "&amp;C143&amp;" "&amp;_xlfn.TEXTJOIN(", ",FALSE,TEXT(_xlfn._xlws.FILTER(OFFSET($D$8:$Q$8,0,SearchDay-1,,15-SearchDay),(OFFSET(D143:Q143,0,SearchDay-1,,15-SearchDay)&gt;-1)*(OFFSET(D143:Q143,0,SearchDay-1,,15-SearchDay)&lt;=ValidC)),"ДД/ММ")),"")</f>
        <v/>
      </c>
      <c r="W143" t="str">
        <f t="shared" si="2"/>
        <v>СЦ БарнаулСуперсейф</v>
      </c>
      <c r="Y143" s="10"/>
      <c r="Z143" s="10"/>
      <c r="AA143" s="10"/>
      <c r="AB143" s="10"/>
    </row>
    <row r="144" spans="2:28" x14ac:dyDescent="0.45">
      <c r="B144" s="12" t="s">
        <v>39</v>
      </c>
      <c r="C144" s="12" t="s">
        <v>111</v>
      </c>
      <c r="D144" s="35">
        <v>20</v>
      </c>
      <c r="E144" s="35">
        <v>20</v>
      </c>
      <c r="F144" s="35">
        <v>20</v>
      </c>
      <c r="G144" s="35">
        <v>20</v>
      </c>
      <c r="H144" s="35">
        <v>20</v>
      </c>
      <c r="I144" s="35">
        <v>20</v>
      </c>
      <c r="J144" s="35">
        <v>20</v>
      </c>
      <c r="K144" s="35">
        <v>20</v>
      </c>
      <c r="L144" s="35">
        <v>20</v>
      </c>
      <c r="M144" s="35">
        <v>20</v>
      </c>
      <c r="N144" s="35">
        <v>20</v>
      </c>
      <c r="O144" s="35">
        <v>-1</v>
      </c>
      <c r="P144" s="35">
        <v>-1</v>
      </c>
      <c r="Q144" s="35">
        <v>-1</v>
      </c>
      <c r="S144" s="5" t="str">
        <f>IF(_xlfn.XLOOKUP(StatTbl[[#This Row],[Join]],TargetSlots[Join],TargetSlots[Join],"Не найдено")&lt;&gt;"Не найдено","Ищем","Не ищем")</f>
        <v>Не ищем</v>
      </c>
      <c r="T144" s="4" t="str">
        <f ca="1">IF(COUNTIFS(OFFSET(D144:$Q144,0,SearchDay-1,,15-SearchDay),"&lt;="&amp; ValidC,OFFSET(D144:$Q144,0,SearchDay-1,,15-SearchDay),"&gt;-1")&gt;0,"Есть слот!","Ничего")</f>
        <v>Ничего</v>
      </c>
      <c r="U144">
        <f ca="1">IF(S144="Ищем",IF(StatTbl[[#This Row],[Доступность]]="Есть слот!",COUNTIFS(OFFSET(D144:$Q144,0,SearchDay-1),"&lt;="&amp; ValidC,OFFSET(D144:$Q144,0,SearchDay-1),"&gt;-1"),0),0)</f>
        <v>0</v>
      </c>
      <c r="V144" t="str" cm="1">
        <f t="array" aca="1" ref="V144" ca="1">IF(StatTbl[[#This Row],[Кол-во слотов]]&gt;0, B144&amp;" "&amp;C144&amp;" "&amp;_xlfn.TEXTJOIN(", ",FALSE,TEXT(_xlfn._xlws.FILTER(OFFSET($D$8:$Q$8,0,SearchDay-1,,15-SearchDay),(OFFSET(D144:Q144,0,SearchDay-1,,15-SearchDay)&gt;-1)*(OFFSET(D144:Q144,0,SearchDay-1,,15-SearchDay)&lt;=ValidC)),"ДД/ММ")),"")</f>
        <v/>
      </c>
      <c r="W144" t="str">
        <f t="shared" si="2"/>
        <v>СЦ БарнаулQR-поставка</v>
      </c>
      <c r="Y144" s="10"/>
      <c r="Z144" s="10"/>
      <c r="AA144" s="10"/>
      <c r="AB144" s="10"/>
    </row>
    <row r="145" spans="2:28" x14ac:dyDescent="0.45">
      <c r="B145" s="12" t="s">
        <v>40</v>
      </c>
      <c r="C145" s="12" t="s">
        <v>109</v>
      </c>
      <c r="D145" s="35">
        <v>-1</v>
      </c>
      <c r="E145" s="35">
        <v>-1</v>
      </c>
      <c r="F145" s="35">
        <v>-1</v>
      </c>
      <c r="G145" s="35">
        <v>-1</v>
      </c>
      <c r="H145" s="35">
        <v>-1</v>
      </c>
      <c r="I145" s="35">
        <v>-1</v>
      </c>
      <c r="J145" s="35">
        <v>-1</v>
      </c>
      <c r="K145" s="35">
        <v>-1</v>
      </c>
      <c r="L145" s="35">
        <v>-1</v>
      </c>
      <c r="M145" s="35">
        <v>-1</v>
      </c>
      <c r="N145" s="35">
        <v>-1</v>
      </c>
      <c r="O145" s="35">
        <v>-1</v>
      </c>
      <c r="P145" s="35">
        <v>-1</v>
      </c>
      <c r="Q145" s="35">
        <v>-1</v>
      </c>
      <c r="S145" s="5" t="str">
        <f>IF(_xlfn.XLOOKUP(StatTbl[[#This Row],[Join]],TargetSlots[Join],TargetSlots[Join],"Не найдено")&lt;&gt;"Не найдено","Ищем","Не ищем")</f>
        <v>Не ищем</v>
      </c>
      <c r="T145" s="4" t="str">
        <f ca="1">IF(COUNTIFS(OFFSET(D145:$Q145,0,SearchDay-1,,15-SearchDay),"&lt;="&amp; ValidC,OFFSET(D145:$Q145,0,SearchDay-1,,15-SearchDay),"&gt;-1")&gt;0,"Есть слот!","Ничего")</f>
        <v>Ничего</v>
      </c>
      <c r="U145">
        <f ca="1">IF(S145="Ищем",IF(StatTbl[[#This Row],[Доступность]]="Есть слот!",COUNTIFS(OFFSET(D145:$Q145,0,SearchDay-1),"&lt;="&amp; ValidC,OFFSET(D145:$Q145,0,SearchDay-1),"&gt;-1"),0),0)</f>
        <v>0</v>
      </c>
      <c r="V145" t="str" cm="1">
        <f t="array" aca="1" ref="V145" ca="1">IF(StatTbl[[#This Row],[Кол-во слотов]]&gt;0, B145&amp;" "&amp;C145&amp;" "&amp;_xlfn.TEXTJOIN(", ",FALSE,TEXT(_xlfn._xlws.FILTER(OFFSET($D$8:$Q$8,0,SearchDay-1,,15-SearchDay),(OFFSET(D145:Q145,0,SearchDay-1,,15-SearchDay)&gt;-1)*(OFFSET(D145:Q145,0,SearchDay-1,,15-SearchDay)&lt;=ValidC)),"ДД/ММ")),"")</f>
        <v/>
      </c>
      <c r="W145" t="str">
        <f t="shared" si="2"/>
        <v>СЦ Белая ДачаКороба</v>
      </c>
      <c r="Y145" s="10"/>
      <c r="Z145" s="10"/>
      <c r="AA145" s="10"/>
      <c r="AB145" s="10"/>
    </row>
    <row r="146" spans="2:28" x14ac:dyDescent="0.45">
      <c r="B146" s="12" t="s">
        <v>40</v>
      </c>
      <c r="C146" s="12" t="s">
        <v>110</v>
      </c>
      <c r="D146" s="35">
        <v>-1</v>
      </c>
      <c r="E146" s="35">
        <v>-1</v>
      </c>
      <c r="F146" s="35">
        <v>-1</v>
      </c>
      <c r="G146" s="35">
        <v>-1</v>
      </c>
      <c r="H146" s="35">
        <v>-1</v>
      </c>
      <c r="I146" s="35">
        <v>-1</v>
      </c>
      <c r="J146" s="35">
        <v>-1</v>
      </c>
      <c r="K146" s="35">
        <v>-1</v>
      </c>
      <c r="L146" s="35">
        <v>-1</v>
      </c>
      <c r="M146" s="35">
        <v>-1</v>
      </c>
      <c r="N146" s="35">
        <v>-1</v>
      </c>
      <c r="O146" s="35">
        <v>-1</v>
      </c>
      <c r="P146" s="35">
        <v>-1</v>
      </c>
      <c r="Q146" s="35">
        <v>-1</v>
      </c>
      <c r="S146" s="5" t="str">
        <f>IF(_xlfn.XLOOKUP(StatTbl[[#This Row],[Join]],TargetSlots[Join],TargetSlots[Join],"Не найдено")&lt;&gt;"Не найдено","Ищем","Не ищем")</f>
        <v>Не ищем</v>
      </c>
      <c r="T146" s="4" t="str">
        <f ca="1">IF(COUNTIFS(OFFSET(D146:$Q146,0,SearchDay-1,,15-SearchDay),"&lt;="&amp; ValidC,OFFSET(D146:$Q146,0,SearchDay-1,,15-SearchDay),"&gt;-1")&gt;0,"Есть слот!","Ничего")</f>
        <v>Ничего</v>
      </c>
      <c r="U146">
        <f ca="1">IF(S146="Ищем",IF(StatTbl[[#This Row],[Доступность]]="Есть слот!",COUNTIFS(OFFSET(D146:$Q146,0,SearchDay-1),"&lt;="&amp; ValidC,OFFSET(D146:$Q146,0,SearchDay-1),"&gt;-1"),0),0)</f>
        <v>0</v>
      </c>
      <c r="V146" t="str" cm="1">
        <f t="array" aca="1" ref="V146" ca="1">IF(StatTbl[[#This Row],[Кол-во слотов]]&gt;0, B146&amp;" "&amp;C146&amp;" "&amp;_xlfn.TEXTJOIN(", ",FALSE,TEXT(_xlfn._xlws.FILTER(OFFSET($D$8:$Q$8,0,SearchDay-1,,15-SearchDay),(OFFSET(D146:Q146,0,SearchDay-1,,15-SearchDay)&gt;-1)*(OFFSET(D146:Q146,0,SearchDay-1,,15-SearchDay)&lt;=ValidC)),"ДД/ММ")),"")</f>
        <v/>
      </c>
      <c r="W146" t="str">
        <f t="shared" si="2"/>
        <v>СЦ Белая ДачаМонопаллеты</v>
      </c>
      <c r="Y146" s="10"/>
      <c r="Z146" s="10"/>
      <c r="AA146" s="10"/>
      <c r="AB146" s="10"/>
    </row>
    <row r="147" spans="2:28" x14ac:dyDescent="0.45">
      <c r="B147" s="12" t="s">
        <v>40</v>
      </c>
      <c r="C147" s="12" t="s">
        <v>6</v>
      </c>
      <c r="D147" s="35">
        <v>-1</v>
      </c>
      <c r="E147" s="35">
        <v>-1</v>
      </c>
      <c r="F147" s="35">
        <v>-1</v>
      </c>
      <c r="G147" s="35">
        <v>-1</v>
      </c>
      <c r="H147" s="35">
        <v>-1</v>
      </c>
      <c r="I147" s="35">
        <v>-1</v>
      </c>
      <c r="J147" s="35">
        <v>-1</v>
      </c>
      <c r="K147" s="35">
        <v>-1</v>
      </c>
      <c r="L147" s="35">
        <v>-1</v>
      </c>
      <c r="M147" s="35">
        <v>-1</v>
      </c>
      <c r="N147" s="35">
        <v>-1</v>
      </c>
      <c r="O147" s="35">
        <v>-1</v>
      </c>
      <c r="P147" s="35">
        <v>-1</v>
      </c>
      <c r="Q147" s="35">
        <v>-1</v>
      </c>
      <c r="S147" s="5" t="str">
        <f>IF(_xlfn.XLOOKUP(StatTbl[[#This Row],[Join]],TargetSlots[Join],TargetSlots[Join],"Не найдено")&lt;&gt;"Не найдено","Ищем","Не ищем")</f>
        <v>Не ищем</v>
      </c>
      <c r="T147" s="4" t="str">
        <f ca="1">IF(COUNTIFS(OFFSET(D147:$Q147,0,SearchDay-1,,15-SearchDay),"&lt;="&amp; ValidC,OFFSET(D147:$Q147,0,SearchDay-1,,15-SearchDay),"&gt;-1")&gt;0,"Есть слот!","Ничего")</f>
        <v>Ничего</v>
      </c>
      <c r="U147">
        <f ca="1">IF(S147="Ищем",IF(StatTbl[[#This Row],[Доступность]]="Есть слот!",COUNTIFS(OFFSET(D147:$Q147,0,SearchDay-1),"&lt;="&amp; ValidC,OFFSET(D147:$Q147,0,SearchDay-1),"&gt;-1"),0),0)</f>
        <v>0</v>
      </c>
      <c r="V147" t="str" cm="1">
        <f t="array" aca="1" ref="V147" ca="1">IF(StatTbl[[#This Row],[Кол-во слотов]]&gt;0, B147&amp;" "&amp;C147&amp;" "&amp;_xlfn.TEXTJOIN(", ",FALSE,TEXT(_xlfn._xlws.FILTER(OFFSET($D$8:$Q$8,0,SearchDay-1,,15-SearchDay),(OFFSET(D147:Q147,0,SearchDay-1,,15-SearchDay)&gt;-1)*(OFFSET(D147:Q147,0,SearchDay-1,,15-SearchDay)&lt;=ValidC)),"ДД/ММ")),"")</f>
        <v/>
      </c>
      <c r="W147" t="str">
        <f t="shared" si="2"/>
        <v>СЦ Белая ДачаСуперсейф</v>
      </c>
      <c r="Y147" s="10"/>
      <c r="Z147" s="10"/>
      <c r="AA147" s="10"/>
      <c r="AB147" s="10"/>
    </row>
    <row r="148" spans="2:28" x14ac:dyDescent="0.45">
      <c r="B148" s="12" t="s">
        <v>40</v>
      </c>
      <c r="C148" s="12" t="s">
        <v>111</v>
      </c>
      <c r="D148" s="35">
        <v>-1</v>
      </c>
      <c r="E148" s="35">
        <v>-1</v>
      </c>
      <c r="F148" s="35">
        <v>-1</v>
      </c>
      <c r="G148" s="35">
        <v>-1</v>
      </c>
      <c r="H148" s="35">
        <v>-1</v>
      </c>
      <c r="I148" s="35">
        <v>-1</v>
      </c>
      <c r="J148" s="35">
        <v>-1</v>
      </c>
      <c r="K148" s="35">
        <v>-1</v>
      </c>
      <c r="L148" s="35">
        <v>-1</v>
      </c>
      <c r="M148" s="35">
        <v>-1</v>
      </c>
      <c r="N148" s="35">
        <v>-1</v>
      </c>
      <c r="O148" s="35">
        <v>-1</v>
      </c>
      <c r="P148" s="35">
        <v>-1</v>
      </c>
      <c r="Q148" s="35">
        <v>-1</v>
      </c>
      <c r="S148" s="5" t="str">
        <f>IF(_xlfn.XLOOKUP(StatTbl[[#This Row],[Join]],TargetSlots[Join],TargetSlots[Join],"Не найдено")&lt;&gt;"Не найдено","Ищем","Не ищем")</f>
        <v>Не ищем</v>
      </c>
      <c r="T148" s="4" t="str">
        <f ca="1">IF(COUNTIFS(OFFSET(D148:$Q148,0,SearchDay-1,,15-SearchDay),"&lt;="&amp; ValidC,OFFSET(D148:$Q148,0,SearchDay-1,,15-SearchDay),"&gt;-1")&gt;0,"Есть слот!","Ничего")</f>
        <v>Ничего</v>
      </c>
      <c r="U148">
        <f ca="1">IF(S148="Ищем",IF(StatTbl[[#This Row],[Доступность]]="Есть слот!",COUNTIFS(OFFSET(D148:$Q148,0,SearchDay-1),"&lt;="&amp; ValidC,OFFSET(D148:$Q148,0,SearchDay-1),"&gt;-1"),0),0)</f>
        <v>0</v>
      </c>
      <c r="V148" t="str" cm="1">
        <f t="array" aca="1" ref="V148" ca="1">IF(StatTbl[[#This Row],[Кол-во слотов]]&gt;0, B148&amp;" "&amp;C148&amp;" "&amp;_xlfn.TEXTJOIN(", ",FALSE,TEXT(_xlfn._xlws.FILTER(OFFSET($D$8:$Q$8,0,SearchDay-1,,15-SearchDay),(OFFSET(D148:Q148,0,SearchDay-1,,15-SearchDay)&gt;-1)*(OFFSET(D148:Q148,0,SearchDay-1,,15-SearchDay)&lt;=ValidC)),"ДД/ММ")),"")</f>
        <v/>
      </c>
      <c r="W148" t="str">
        <f t="shared" si="2"/>
        <v>СЦ Белая ДачаQR-поставка</v>
      </c>
      <c r="Y148" s="10"/>
      <c r="Z148" s="10"/>
      <c r="AA148" s="10"/>
      <c r="AB148" s="10"/>
    </row>
    <row r="149" spans="2:28" x14ac:dyDescent="0.45">
      <c r="B149" s="12" t="s">
        <v>41</v>
      </c>
      <c r="C149" s="12" t="s">
        <v>109</v>
      </c>
      <c r="D149" s="35">
        <v>2</v>
      </c>
      <c r="E149" s="35">
        <v>2</v>
      </c>
      <c r="F149" s="35">
        <v>2</v>
      </c>
      <c r="G149" s="35">
        <v>2</v>
      </c>
      <c r="H149" s="35">
        <v>2</v>
      </c>
      <c r="I149" s="35">
        <v>20</v>
      </c>
      <c r="J149" s="35">
        <v>2</v>
      </c>
      <c r="K149" s="35">
        <v>2</v>
      </c>
      <c r="L149" s="35">
        <v>2</v>
      </c>
      <c r="M149" s="35">
        <v>2</v>
      </c>
      <c r="N149" s="35">
        <v>2</v>
      </c>
      <c r="O149" s="35">
        <v>2</v>
      </c>
      <c r="P149" s="35">
        <v>2</v>
      </c>
      <c r="Q149" s="35">
        <v>-1</v>
      </c>
      <c r="S149" s="5" t="str">
        <f>IF(_xlfn.XLOOKUP(StatTbl[[#This Row],[Join]],TargetSlots[Join],TargetSlots[Join],"Не найдено")&lt;&gt;"Не найдено","Ищем","Не ищем")</f>
        <v>Не ищем</v>
      </c>
      <c r="T149" s="4" t="str">
        <f ca="1">IF(COUNTIFS(OFFSET(D149:$Q149,0,SearchDay-1,,15-SearchDay),"&lt;="&amp; ValidC,OFFSET(D149:$Q149,0,SearchDay-1,,15-SearchDay),"&gt;-1")&gt;0,"Есть слот!","Ничего")</f>
        <v>Есть слот!</v>
      </c>
      <c r="U149">
        <f ca="1">IF(S149="Ищем",IF(StatTbl[[#This Row],[Доступность]]="Есть слот!",COUNTIFS(OFFSET(D149:$Q149,0,SearchDay-1),"&lt;="&amp; ValidC,OFFSET(D149:$Q149,0,SearchDay-1),"&gt;-1"),0),0)</f>
        <v>0</v>
      </c>
      <c r="V149" t="str" cm="1">
        <f t="array" aca="1" ref="V149" ca="1">IF(StatTbl[[#This Row],[Кол-во слотов]]&gt;0, B149&amp;" "&amp;C149&amp;" "&amp;_xlfn.TEXTJOIN(", ",FALSE,TEXT(_xlfn._xlws.FILTER(OFFSET($D$8:$Q$8,0,SearchDay-1,,15-SearchDay),(OFFSET(D149:Q149,0,SearchDay-1,,15-SearchDay)&gt;-1)*(OFFSET(D149:Q149,0,SearchDay-1,,15-SearchDay)&lt;=ValidC)),"ДД/ММ")),"")</f>
        <v/>
      </c>
      <c r="W149" t="str">
        <f t="shared" si="2"/>
        <v>СЦ БелогорскКороба</v>
      </c>
      <c r="Y149" s="10"/>
      <c r="Z149" s="10"/>
      <c r="AA149" s="10"/>
      <c r="AB149" s="10"/>
    </row>
    <row r="150" spans="2:28" x14ac:dyDescent="0.45">
      <c r="B150" s="12" t="s">
        <v>41</v>
      </c>
      <c r="C150" s="12" t="s">
        <v>110</v>
      </c>
      <c r="D150" s="35">
        <v>-1</v>
      </c>
      <c r="E150" s="35">
        <v>-1</v>
      </c>
      <c r="F150" s="35">
        <v>-1</v>
      </c>
      <c r="G150" s="35">
        <v>-1</v>
      </c>
      <c r="H150" s="35">
        <v>-1</v>
      </c>
      <c r="I150" s="35">
        <v>-1</v>
      </c>
      <c r="J150" s="35">
        <v>-1</v>
      </c>
      <c r="K150" s="35">
        <v>-1</v>
      </c>
      <c r="L150" s="35">
        <v>-1</v>
      </c>
      <c r="M150" s="35">
        <v>-1</v>
      </c>
      <c r="N150" s="35">
        <v>-1</v>
      </c>
      <c r="O150" s="35">
        <v>-1</v>
      </c>
      <c r="P150" s="35">
        <v>-1</v>
      </c>
      <c r="Q150" s="35">
        <v>-1</v>
      </c>
      <c r="S150" s="5" t="str">
        <f>IF(_xlfn.XLOOKUP(StatTbl[[#This Row],[Join]],TargetSlots[Join],TargetSlots[Join],"Не найдено")&lt;&gt;"Не найдено","Ищем","Не ищем")</f>
        <v>Не ищем</v>
      </c>
      <c r="T150" s="4" t="str">
        <f ca="1">IF(COUNTIFS(OFFSET(D150:$Q150,0,SearchDay-1,,15-SearchDay),"&lt;="&amp; ValidC,OFFSET(D150:$Q150,0,SearchDay-1,,15-SearchDay),"&gt;-1")&gt;0,"Есть слот!","Ничего")</f>
        <v>Ничего</v>
      </c>
      <c r="U150">
        <f ca="1">IF(S150="Ищем",IF(StatTbl[[#This Row],[Доступность]]="Есть слот!",COUNTIFS(OFFSET(D150:$Q150,0,SearchDay-1),"&lt;="&amp; ValidC,OFFSET(D150:$Q150,0,SearchDay-1),"&gt;-1"),0),0)</f>
        <v>0</v>
      </c>
      <c r="V150" t="str" cm="1">
        <f t="array" aca="1" ref="V150" ca="1">IF(StatTbl[[#This Row],[Кол-во слотов]]&gt;0, B150&amp;" "&amp;C150&amp;" "&amp;_xlfn.TEXTJOIN(", ",FALSE,TEXT(_xlfn._xlws.FILTER(OFFSET($D$8:$Q$8,0,SearchDay-1,,15-SearchDay),(OFFSET(D150:Q150,0,SearchDay-1,,15-SearchDay)&gt;-1)*(OFFSET(D150:Q150,0,SearchDay-1,,15-SearchDay)&lt;=ValidC)),"ДД/ММ")),"")</f>
        <v/>
      </c>
      <c r="W150" t="str">
        <f t="shared" si="2"/>
        <v>СЦ БелогорскМонопаллеты</v>
      </c>
      <c r="Y150" s="10"/>
      <c r="Z150" s="10"/>
      <c r="AA150" s="10"/>
      <c r="AB150" s="10"/>
    </row>
    <row r="151" spans="2:28" x14ac:dyDescent="0.45">
      <c r="B151" s="12" t="s">
        <v>41</v>
      </c>
      <c r="C151" s="12" t="s">
        <v>6</v>
      </c>
      <c r="D151" s="35">
        <v>-1</v>
      </c>
      <c r="E151" s="35">
        <v>-1</v>
      </c>
      <c r="F151" s="35">
        <v>-1</v>
      </c>
      <c r="G151" s="35">
        <v>-1</v>
      </c>
      <c r="H151" s="35">
        <v>-1</v>
      </c>
      <c r="I151" s="35">
        <v>-1</v>
      </c>
      <c r="J151" s="35">
        <v>-1</v>
      </c>
      <c r="K151" s="35">
        <v>-1</v>
      </c>
      <c r="L151" s="35">
        <v>-1</v>
      </c>
      <c r="M151" s="35">
        <v>-1</v>
      </c>
      <c r="N151" s="35">
        <v>-1</v>
      </c>
      <c r="O151" s="35">
        <v>-1</v>
      </c>
      <c r="P151" s="35">
        <v>-1</v>
      </c>
      <c r="Q151" s="35">
        <v>-1</v>
      </c>
      <c r="S151" s="5" t="str">
        <f>IF(_xlfn.XLOOKUP(StatTbl[[#This Row],[Join]],TargetSlots[Join],TargetSlots[Join],"Не найдено")&lt;&gt;"Не найдено","Ищем","Не ищем")</f>
        <v>Не ищем</v>
      </c>
      <c r="T151" s="4" t="str">
        <f ca="1">IF(COUNTIFS(OFFSET(D151:$Q151,0,SearchDay-1,,15-SearchDay),"&lt;="&amp; ValidC,OFFSET(D151:$Q151,0,SearchDay-1,,15-SearchDay),"&gt;-1")&gt;0,"Есть слот!","Ничего")</f>
        <v>Ничего</v>
      </c>
      <c r="U151">
        <f ca="1">IF(S151="Ищем",IF(StatTbl[[#This Row],[Доступность]]="Есть слот!",COUNTIFS(OFFSET(D151:$Q151,0,SearchDay-1),"&lt;="&amp; ValidC,OFFSET(D151:$Q151,0,SearchDay-1),"&gt;-1"),0),0)</f>
        <v>0</v>
      </c>
      <c r="V151" t="str" cm="1">
        <f t="array" aca="1" ref="V151" ca="1">IF(StatTbl[[#This Row],[Кол-во слотов]]&gt;0, B151&amp;" "&amp;C151&amp;" "&amp;_xlfn.TEXTJOIN(", ",FALSE,TEXT(_xlfn._xlws.FILTER(OFFSET($D$8:$Q$8,0,SearchDay-1,,15-SearchDay),(OFFSET(D151:Q151,0,SearchDay-1,,15-SearchDay)&gt;-1)*(OFFSET(D151:Q151,0,SearchDay-1,,15-SearchDay)&lt;=ValidC)),"ДД/ММ")),"")</f>
        <v/>
      </c>
      <c r="W151" t="str">
        <f t="shared" si="2"/>
        <v>СЦ БелогорскСуперсейф</v>
      </c>
      <c r="Y151" s="10"/>
      <c r="Z151" s="10"/>
      <c r="AA151" s="10"/>
      <c r="AB151" s="10"/>
    </row>
    <row r="152" spans="2:28" x14ac:dyDescent="0.45">
      <c r="B152" s="12" t="s">
        <v>41</v>
      </c>
      <c r="C152" s="12" t="s">
        <v>111</v>
      </c>
      <c r="D152" s="35">
        <v>20</v>
      </c>
      <c r="E152" s="35">
        <v>20</v>
      </c>
      <c r="F152" s="35">
        <v>20</v>
      </c>
      <c r="G152" s="35">
        <v>20</v>
      </c>
      <c r="H152" s="35">
        <v>2</v>
      </c>
      <c r="I152" s="35">
        <v>2</v>
      </c>
      <c r="J152" s="35">
        <v>2</v>
      </c>
      <c r="K152" s="35">
        <v>2</v>
      </c>
      <c r="L152" s="35">
        <v>2</v>
      </c>
      <c r="M152" s="35">
        <v>2</v>
      </c>
      <c r="N152" s="35">
        <v>2</v>
      </c>
      <c r="O152" s="35">
        <v>-1</v>
      </c>
      <c r="P152" s="35">
        <v>-1</v>
      </c>
      <c r="Q152" s="35">
        <v>-1</v>
      </c>
      <c r="S152" s="5" t="str">
        <f>IF(_xlfn.XLOOKUP(StatTbl[[#This Row],[Join]],TargetSlots[Join],TargetSlots[Join],"Не найдено")&lt;&gt;"Не найдено","Ищем","Не ищем")</f>
        <v>Не ищем</v>
      </c>
      <c r="T152" s="4" t="str">
        <f ca="1">IF(COUNTIFS(OFFSET(D152:$Q152,0,SearchDay-1,,15-SearchDay),"&lt;="&amp; ValidC,OFFSET(D152:$Q152,0,SearchDay-1,,15-SearchDay),"&gt;-1")&gt;0,"Есть слот!","Ничего")</f>
        <v>Есть слот!</v>
      </c>
      <c r="U152">
        <f ca="1">IF(S152="Ищем",IF(StatTbl[[#This Row],[Доступность]]="Есть слот!",COUNTIFS(OFFSET(D152:$Q152,0,SearchDay-1),"&lt;="&amp; ValidC,OFFSET(D152:$Q152,0,SearchDay-1),"&gt;-1"),0),0)</f>
        <v>0</v>
      </c>
      <c r="V152" t="str" cm="1">
        <f t="array" aca="1" ref="V152" ca="1">IF(StatTbl[[#This Row],[Кол-во слотов]]&gt;0, B152&amp;" "&amp;C152&amp;" "&amp;_xlfn.TEXTJOIN(", ",FALSE,TEXT(_xlfn._xlws.FILTER(OFFSET($D$8:$Q$8,0,SearchDay-1,,15-SearchDay),(OFFSET(D152:Q152,0,SearchDay-1,,15-SearchDay)&gt;-1)*(OFFSET(D152:Q152,0,SearchDay-1,,15-SearchDay)&lt;=ValidC)),"ДД/ММ")),"")</f>
        <v/>
      </c>
      <c r="W152" t="str">
        <f t="shared" si="2"/>
        <v>СЦ БелогорскQR-поставка</v>
      </c>
      <c r="Y152" s="10"/>
      <c r="Z152" s="10"/>
      <c r="AA152" s="10"/>
      <c r="AB152" s="10"/>
    </row>
    <row r="153" spans="2:28" x14ac:dyDescent="0.45">
      <c r="B153" s="12" t="s">
        <v>42</v>
      </c>
      <c r="C153" s="12" t="s">
        <v>109</v>
      </c>
      <c r="D153" s="35">
        <v>-1</v>
      </c>
      <c r="E153" s="35">
        <v>-1</v>
      </c>
      <c r="F153" s="35">
        <v>-1</v>
      </c>
      <c r="G153" s="35">
        <v>-1</v>
      </c>
      <c r="H153" s="35">
        <v>-1</v>
      </c>
      <c r="I153" s="35">
        <v>-1</v>
      </c>
      <c r="J153" s="35">
        <v>-1</v>
      </c>
      <c r="K153" s="35">
        <v>-1</v>
      </c>
      <c r="L153" s="35">
        <v>-1</v>
      </c>
      <c r="M153" s="35">
        <v>-1</v>
      </c>
      <c r="N153" s="35">
        <v>-1</v>
      </c>
      <c r="O153" s="35">
        <v>-1</v>
      </c>
      <c r="P153" s="35">
        <v>-1</v>
      </c>
      <c r="Q153" s="35">
        <v>-1</v>
      </c>
      <c r="S153" s="5" t="str">
        <f>IF(_xlfn.XLOOKUP(StatTbl[[#This Row],[Join]],TargetSlots[Join],TargetSlots[Join],"Не найдено")&lt;&gt;"Не найдено","Ищем","Не ищем")</f>
        <v>Не ищем</v>
      </c>
      <c r="T153" s="4" t="str">
        <f ca="1">IF(COUNTIFS(OFFSET(D153:$Q153,0,SearchDay-1,,15-SearchDay),"&lt;="&amp; ValidC,OFFSET(D153:$Q153,0,SearchDay-1,,15-SearchDay),"&gt;-1")&gt;0,"Есть слот!","Ничего")</f>
        <v>Ничего</v>
      </c>
      <c r="U153">
        <f ca="1">IF(S153="Ищем",IF(StatTbl[[#This Row],[Доступность]]="Есть слот!",COUNTIFS(OFFSET(D153:$Q153,0,SearchDay-1),"&lt;="&amp; ValidC,OFFSET(D153:$Q153,0,SearchDay-1),"&gt;-1"),0),0)</f>
        <v>0</v>
      </c>
      <c r="V153" t="str" cm="1">
        <f t="array" aca="1" ref="V153" ca="1">IF(StatTbl[[#This Row],[Кол-во слотов]]&gt;0, B153&amp;" "&amp;C153&amp;" "&amp;_xlfn.TEXTJOIN(", ",FALSE,TEXT(_xlfn._xlws.FILTER(OFFSET($D$8:$Q$8,0,SearchDay-1,,15-SearchDay),(OFFSET(D153:Q153,0,SearchDay-1,,15-SearchDay)&gt;-1)*(OFFSET(D153:Q153,0,SearchDay-1,,15-SearchDay)&lt;=ValidC)),"ДД/ММ")),"")</f>
        <v/>
      </c>
      <c r="W153" t="str">
        <f t="shared" si="2"/>
        <v>СЦ БишкекКороба</v>
      </c>
      <c r="Y153" s="10"/>
      <c r="Z153" s="10"/>
      <c r="AA153" s="10"/>
      <c r="AB153" s="10"/>
    </row>
    <row r="154" spans="2:28" x14ac:dyDescent="0.45">
      <c r="B154" s="12" t="s">
        <v>42</v>
      </c>
      <c r="C154" s="12" t="s">
        <v>110</v>
      </c>
      <c r="D154" s="35">
        <v>-1</v>
      </c>
      <c r="E154" s="35">
        <v>-1</v>
      </c>
      <c r="F154" s="35">
        <v>-1</v>
      </c>
      <c r="G154" s="35">
        <v>-1</v>
      </c>
      <c r="H154" s="35">
        <v>-1</v>
      </c>
      <c r="I154" s="35">
        <v>-1</v>
      </c>
      <c r="J154" s="35">
        <v>-1</v>
      </c>
      <c r="K154" s="35">
        <v>-1</v>
      </c>
      <c r="L154" s="35">
        <v>-1</v>
      </c>
      <c r="M154" s="35">
        <v>-1</v>
      </c>
      <c r="N154" s="35">
        <v>-1</v>
      </c>
      <c r="O154" s="35">
        <v>-1</v>
      </c>
      <c r="P154" s="35">
        <v>-1</v>
      </c>
      <c r="Q154" s="35">
        <v>-1</v>
      </c>
      <c r="S154" s="5" t="str">
        <f>IF(_xlfn.XLOOKUP(StatTbl[[#This Row],[Join]],TargetSlots[Join],TargetSlots[Join],"Не найдено")&lt;&gt;"Не найдено","Ищем","Не ищем")</f>
        <v>Не ищем</v>
      </c>
      <c r="T154" s="4" t="str">
        <f ca="1">IF(COUNTIFS(OFFSET(D154:$Q154,0,SearchDay-1,,15-SearchDay),"&lt;="&amp; ValidC,OFFSET(D154:$Q154,0,SearchDay-1,,15-SearchDay),"&gt;-1")&gt;0,"Есть слот!","Ничего")</f>
        <v>Ничего</v>
      </c>
      <c r="U154">
        <f ca="1">IF(S154="Ищем",IF(StatTbl[[#This Row],[Доступность]]="Есть слот!",COUNTIFS(OFFSET(D154:$Q154,0,SearchDay-1),"&lt;="&amp; ValidC,OFFSET(D154:$Q154,0,SearchDay-1),"&gt;-1"),0),0)</f>
        <v>0</v>
      </c>
      <c r="V154" t="str" cm="1">
        <f t="array" aca="1" ref="V154" ca="1">IF(StatTbl[[#This Row],[Кол-во слотов]]&gt;0, B154&amp;" "&amp;C154&amp;" "&amp;_xlfn.TEXTJOIN(", ",FALSE,TEXT(_xlfn._xlws.FILTER(OFFSET($D$8:$Q$8,0,SearchDay-1,,15-SearchDay),(OFFSET(D154:Q154,0,SearchDay-1,,15-SearchDay)&gt;-1)*(OFFSET(D154:Q154,0,SearchDay-1,,15-SearchDay)&lt;=ValidC)),"ДД/ММ")),"")</f>
        <v/>
      </c>
      <c r="W154" t="str">
        <f t="shared" si="2"/>
        <v>СЦ БишкекМонопаллеты</v>
      </c>
      <c r="Y154" s="10"/>
      <c r="Z154" s="10"/>
      <c r="AA154" s="10"/>
      <c r="AB154" s="10"/>
    </row>
    <row r="155" spans="2:28" x14ac:dyDescent="0.45">
      <c r="B155" s="12" t="s">
        <v>42</v>
      </c>
      <c r="C155" s="12" t="s">
        <v>6</v>
      </c>
      <c r="D155" s="35">
        <v>-1</v>
      </c>
      <c r="E155" s="35">
        <v>-1</v>
      </c>
      <c r="F155" s="35">
        <v>-1</v>
      </c>
      <c r="G155" s="35">
        <v>-1</v>
      </c>
      <c r="H155" s="35">
        <v>-1</v>
      </c>
      <c r="I155" s="35">
        <v>-1</v>
      </c>
      <c r="J155" s="35">
        <v>-1</v>
      </c>
      <c r="K155" s="35">
        <v>-1</v>
      </c>
      <c r="L155" s="35">
        <v>-1</v>
      </c>
      <c r="M155" s="35">
        <v>-1</v>
      </c>
      <c r="N155" s="35">
        <v>-1</v>
      </c>
      <c r="O155" s="35">
        <v>-1</v>
      </c>
      <c r="P155" s="35">
        <v>-1</v>
      </c>
      <c r="Q155" s="35">
        <v>-1</v>
      </c>
      <c r="S155" s="5" t="str">
        <f>IF(_xlfn.XLOOKUP(StatTbl[[#This Row],[Join]],TargetSlots[Join],TargetSlots[Join],"Не найдено")&lt;&gt;"Не найдено","Ищем","Не ищем")</f>
        <v>Не ищем</v>
      </c>
      <c r="T155" s="4" t="str">
        <f ca="1">IF(COUNTIFS(OFFSET(D155:$Q155,0,SearchDay-1,,15-SearchDay),"&lt;="&amp; ValidC,OFFSET(D155:$Q155,0,SearchDay-1,,15-SearchDay),"&gt;-1")&gt;0,"Есть слот!","Ничего")</f>
        <v>Ничего</v>
      </c>
      <c r="U155">
        <f ca="1">IF(S155="Ищем",IF(StatTbl[[#This Row],[Доступность]]="Есть слот!",COUNTIFS(OFFSET(D155:$Q155,0,SearchDay-1),"&lt;="&amp; ValidC,OFFSET(D155:$Q155,0,SearchDay-1),"&gt;-1"),0),0)</f>
        <v>0</v>
      </c>
      <c r="V155" t="str" cm="1">
        <f t="array" aca="1" ref="V155" ca="1">IF(StatTbl[[#This Row],[Кол-во слотов]]&gt;0, B155&amp;" "&amp;C155&amp;" "&amp;_xlfn.TEXTJOIN(", ",FALSE,TEXT(_xlfn._xlws.FILTER(OFFSET($D$8:$Q$8,0,SearchDay-1,,15-SearchDay),(OFFSET(D155:Q155,0,SearchDay-1,,15-SearchDay)&gt;-1)*(OFFSET(D155:Q155,0,SearchDay-1,,15-SearchDay)&lt;=ValidC)),"ДД/ММ")),"")</f>
        <v/>
      </c>
      <c r="W155" t="str">
        <f t="shared" si="2"/>
        <v>СЦ БишкекСуперсейф</v>
      </c>
      <c r="Y155" s="10"/>
      <c r="Z155" s="10"/>
      <c r="AA155" s="10"/>
      <c r="AB155" s="10"/>
    </row>
    <row r="156" spans="2:28" x14ac:dyDescent="0.45">
      <c r="B156" s="12" t="s">
        <v>42</v>
      </c>
      <c r="C156" s="12" t="s">
        <v>111</v>
      </c>
      <c r="D156" s="35">
        <v>-1</v>
      </c>
      <c r="E156" s="35">
        <v>-1</v>
      </c>
      <c r="F156" s="35">
        <v>-1</v>
      </c>
      <c r="G156" s="35">
        <v>-1</v>
      </c>
      <c r="H156" s="35">
        <v>-1</v>
      </c>
      <c r="I156" s="35">
        <v>-1</v>
      </c>
      <c r="J156" s="35">
        <v>-1</v>
      </c>
      <c r="K156" s="35">
        <v>-1</v>
      </c>
      <c r="L156" s="35">
        <v>-1</v>
      </c>
      <c r="M156" s="35">
        <v>-1</v>
      </c>
      <c r="N156" s="35">
        <v>-1</v>
      </c>
      <c r="O156" s="35">
        <v>-1</v>
      </c>
      <c r="P156" s="35">
        <v>-1</v>
      </c>
      <c r="Q156" s="35">
        <v>-1</v>
      </c>
      <c r="S156" s="5" t="str">
        <f>IF(_xlfn.XLOOKUP(StatTbl[[#This Row],[Join]],TargetSlots[Join],TargetSlots[Join],"Не найдено")&lt;&gt;"Не найдено","Ищем","Не ищем")</f>
        <v>Не ищем</v>
      </c>
      <c r="T156" s="4" t="str">
        <f ca="1">IF(COUNTIFS(OFFSET(D156:$Q156,0,SearchDay-1,,15-SearchDay),"&lt;="&amp; ValidC,OFFSET(D156:$Q156,0,SearchDay-1,,15-SearchDay),"&gt;-1")&gt;0,"Есть слот!","Ничего")</f>
        <v>Ничего</v>
      </c>
      <c r="U156">
        <f ca="1">IF(S156="Ищем",IF(StatTbl[[#This Row],[Доступность]]="Есть слот!",COUNTIFS(OFFSET(D156:$Q156,0,SearchDay-1),"&lt;="&amp; ValidC,OFFSET(D156:$Q156,0,SearchDay-1),"&gt;-1"),0),0)</f>
        <v>0</v>
      </c>
      <c r="V156" t="str" cm="1">
        <f t="array" aca="1" ref="V156" ca="1">IF(StatTbl[[#This Row],[Кол-во слотов]]&gt;0, B156&amp;" "&amp;C156&amp;" "&amp;_xlfn.TEXTJOIN(", ",FALSE,TEXT(_xlfn._xlws.FILTER(OFFSET($D$8:$Q$8,0,SearchDay-1,,15-SearchDay),(OFFSET(D156:Q156,0,SearchDay-1,,15-SearchDay)&gt;-1)*(OFFSET(D156:Q156,0,SearchDay-1,,15-SearchDay)&lt;=ValidC)),"ДД/ММ")),"")</f>
        <v/>
      </c>
      <c r="W156" t="str">
        <f t="shared" si="2"/>
        <v>СЦ БишкекQR-поставка</v>
      </c>
      <c r="Y156" s="10"/>
      <c r="Z156" s="10"/>
      <c r="AA156" s="10"/>
      <c r="AB156" s="10"/>
    </row>
    <row r="157" spans="2:28" x14ac:dyDescent="0.45">
      <c r="B157" s="12" t="s">
        <v>43</v>
      </c>
      <c r="C157" s="12" t="s">
        <v>109</v>
      </c>
      <c r="D157" s="35">
        <v>-1</v>
      </c>
      <c r="E157" s="35">
        <v>-1</v>
      </c>
      <c r="F157" s="35">
        <v>-1</v>
      </c>
      <c r="G157" s="35">
        <v>-1</v>
      </c>
      <c r="H157" s="35">
        <v>-1</v>
      </c>
      <c r="I157" s="35">
        <v>-1</v>
      </c>
      <c r="J157" s="35">
        <v>-1</v>
      </c>
      <c r="K157" s="35">
        <v>-1</v>
      </c>
      <c r="L157" s="35">
        <v>-1</v>
      </c>
      <c r="M157" s="35">
        <v>-1</v>
      </c>
      <c r="N157" s="35">
        <v>-1</v>
      </c>
      <c r="O157" s="35">
        <v>-1</v>
      </c>
      <c r="P157" s="35">
        <v>-1</v>
      </c>
      <c r="Q157" s="35">
        <v>-1</v>
      </c>
      <c r="S157" s="5" t="str">
        <f>IF(_xlfn.XLOOKUP(StatTbl[[#This Row],[Join]],TargetSlots[Join],TargetSlots[Join],"Не найдено")&lt;&gt;"Не найдено","Ищем","Не ищем")</f>
        <v>Не ищем</v>
      </c>
      <c r="T157" s="4" t="str">
        <f ca="1">IF(COUNTIFS(OFFSET(D157:$Q157,0,SearchDay-1,,15-SearchDay),"&lt;="&amp; ValidC,OFFSET(D157:$Q157,0,SearchDay-1,,15-SearchDay),"&gt;-1")&gt;0,"Есть слот!","Ничего")</f>
        <v>Ничего</v>
      </c>
      <c r="U157">
        <f ca="1">IF(S157="Ищем",IF(StatTbl[[#This Row],[Доступность]]="Есть слот!",COUNTIFS(OFFSET(D157:$Q157,0,SearchDay-1),"&lt;="&amp; ValidC,OFFSET(D157:$Q157,0,SearchDay-1),"&gt;-1"),0),0)</f>
        <v>0</v>
      </c>
      <c r="V157" t="str" cm="1">
        <f t="array" aca="1" ref="V157" ca="1">IF(StatTbl[[#This Row],[Кол-во слотов]]&gt;0, B157&amp;" "&amp;C157&amp;" "&amp;_xlfn.TEXTJOIN(", ",FALSE,TEXT(_xlfn._xlws.FILTER(OFFSET($D$8:$Q$8,0,SearchDay-1,,15-SearchDay),(OFFSET(D157:Q157,0,SearchDay-1,,15-SearchDay)&gt;-1)*(OFFSET(D157:Q157,0,SearchDay-1,,15-SearchDay)&lt;=ValidC)),"ДД/ММ")),"")</f>
        <v/>
      </c>
      <c r="W157" t="str">
        <f t="shared" si="2"/>
        <v>СЦ БрестКороба</v>
      </c>
      <c r="Y157" s="10"/>
      <c r="Z157" s="10"/>
      <c r="AA157" s="10"/>
      <c r="AB157" s="10"/>
    </row>
    <row r="158" spans="2:28" x14ac:dyDescent="0.45">
      <c r="B158" s="12" t="s">
        <v>43</v>
      </c>
      <c r="C158" s="12" t="s">
        <v>110</v>
      </c>
      <c r="D158" s="35">
        <v>10</v>
      </c>
      <c r="E158" s="35">
        <v>10</v>
      </c>
      <c r="F158" s="35">
        <v>10</v>
      </c>
      <c r="G158" s="35">
        <v>10</v>
      </c>
      <c r="H158" s="35">
        <v>10</v>
      </c>
      <c r="I158" s="35">
        <v>10</v>
      </c>
      <c r="J158" s="35">
        <v>10</v>
      </c>
      <c r="K158" s="35">
        <v>10</v>
      </c>
      <c r="L158" s="35">
        <v>20</v>
      </c>
      <c r="M158" s="35">
        <v>10</v>
      </c>
      <c r="N158" s="35">
        <v>-1</v>
      </c>
      <c r="O158" s="35">
        <v>-1</v>
      </c>
      <c r="P158" s="35">
        <v>-1</v>
      </c>
      <c r="Q158" s="35">
        <v>-1</v>
      </c>
      <c r="S158" s="5" t="str">
        <f>IF(_xlfn.XLOOKUP(StatTbl[[#This Row],[Join]],TargetSlots[Join],TargetSlots[Join],"Не найдено")&lt;&gt;"Не найдено","Ищем","Не ищем")</f>
        <v>Не ищем</v>
      </c>
      <c r="T158" s="4" t="str">
        <f ca="1">IF(COUNTIFS(OFFSET(D158:$Q158,0,SearchDay-1,,15-SearchDay),"&lt;="&amp; ValidC,OFFSET(D158:$Q158,0,SearchDay-1,,15-SearchDay),"&gt;-1")&gt;0,"Есть слот!","Ничего")</f>
        <v>Ничего</v>
      </c>
      <c r="U158">
        <f ca="1">IF(S158="Ищем",IF(StatTbl[[#This Row],[Доступность]]="Есть слот!",COUNTIFS(OFFSET(D158:$Q158,0,SearchDay-1),"&lt;="&amp; ValidC,OFFSET(D158:$Q158,0,SearchDay-1),"&gt;-1"),0),0)</f>
        <v>0</v>
      </c>
      <c r="V158" t="str" cm="1">
        <f t="array" aca="1" ref="V158" ca="1">IF(StatTbl[[#This Row],[Кол-во слотов]]&gt;0, B158&amp;" "&amp;C158&amp;" "&amp;_xlfn.TEXTJOIN(", ",FALSE,TEXT(_xlfn._xlws.FILTER(OFFSET($D$8:$Q$8,0,SearchDay-1,,15-SearchDay),(OFFSET(D158:Q158,0,SearchDay-1,,15-SearchDay)&gt;-1)*(OFFSET(D158:Q158,0,SearchDay-1,,15-SearchDay)&lt;=ValidC)),"ДД/ММ")),"")</f>
        <v/>
      </c>
      <c r="W158" t="str">
        <f t="shared" si="2"/>
        <v>СЦ БрестМонопаллеты</v>
      </c>
      <c r="Y158" s="10"/>
      <c r="Z158" s="10"/>
      <c r="AA158" s="10"/>
      <c r="AB158" s="10"/>
    </row>
    <row r="159" spans="2:28" x14ac:dyDescent="0.45">
      <c r="B159" s="12" t="s">
        <v>43</v>
      </c>
      <c r="C159" s="12" t="s">
        <v>6</v>
      </c>
      <c r="D159" s="35">
        <v>-1</v>
      </c>
      <c r="E159" s="35">
        <v>-1</v>
      </c>
      <c r="F159" s="35">
        <v>-1</v>
      </c>
      <c r="G159" s="35">
        <v>-1</v>
      </c>
      <c r="H159" s="35">
        <v>-1</v>
      </c>
      <c r="I159" s="35">
        <v>-1</v>
      </c>
      <c r="J159" s="35">
        <v>-1</v>
      </c>
      <c r="K159" s="35">
        <v>-1</v>
      </c>
      <c r="L159" s="35">
        <v>-1</v>
      </c>
      <c r="M159" s="35">
        <v>-1</v>
      </c>
      <c r="N159" s="35">
        <v>-1</v>
      </c>
      <c r="O159" s="35">
        <v>-1</v>
      </c>
      <c r="P159" s="35">
        <v>-1</v>
      </c>
      <c r="Q159" s="35">
        <v>-1</v>
      </c>
      <c r="S159" s="5" t="str">
        <f>IF(_xlfn.XLOOKUP(StatTbl[[#This Row],[Join]],TargetSlots[Join],TargetSlots[Join],"Не найдено")&lt;&gt;"Не найдено","Ищем","Не ищем")</f>
        <v>Не ищем</v>
      </c>
      <c r="T159" s="4" t="str">
        <f ca="1">IF(COUNTIFS(OFFSET(D159:$Q159,0,SearchDay-1,,15-SearchDay),"&lt;="&amp; ValidC,OFFSET(D159:$Q159,0,SearchDay-1,,15-SearchDay),"&gt;-1")&gt;0,"Есть слот!","Ничего")</f>
        <v>Ничего</v>
      </c>
      <c r="U159">
        <f ca="1">IF(S159="Ищем",IF(StatTbl[[#This Row],[Доступность]]="Есть слот!",COUNTIFS(OFFSET(D159:$Q159,0,SearchDay-1),"&lt;="&amp; ValidC,OFFSET(D159:$Q159,0,SearchDay-1),"&gt;-1"),0),0)</f>
        <v>0</v>
      </c>
      <c r="V159" t="str" cm="1">
        <f t="array" aca="1" ref="V159" ca="1">IF(StatTbl[[#This Row],[Кол-во слотов]]&gt;0, B159&amp;" "&amp;C159&amp;" "&amp;_xlfn.TEXTJOIN(", ",FALSE,TEXT(_xlfn._xlws.FILTER(OFFSET($D$8:$Q$8,0,SearchDay-1,,15-SearchDay),(OFFSET(D159:Q159,0,SearchDay-1,,15-SearchDay)&gt;-1)*(OFFSET(D159:Q159,0,SearchDay-1,,15-SearchDay)&lt;=ValidC)),"ДД/ММ")),"")</f>
        <v/>
      </c>
      <c r="W159" t="str">
        <f t="shared" si="2"/>
        <v>СЦ БрестСуперсейф</v>
      </c>
      <c r="Y159" s="10"/>
      <c r="Z159" s="10"/>
      <c r="AA159" s="10"/>
      <c r="AB159" s="10"/>
    </row>
    <row r="160" spans="2:28" x14ac:dyDescent="0.45">
      <c r="B160" s="12" t="s">
        <v>43</v>
      </c>
      <c r="C160" s="12" t="s">
        <v>111</v>
      </c>
      <c r="D160" s="35">
        <v>-1</v>
      </c>
      <c r="E160" s="35">
        <v>-1</v>
      </c>
      <c r="F160" s="35">
        <v>-1</v>
      </c>
      <c r="G160" s="35">
        <v>-1</v>
      </c>
      <c r="H160" s="35">
        <v>-1</v>
      </c>
      <c r="I160" s="35">
        <v>-1</v>
      </c>
      <c r="J160" s="35">
        <v>-1</v>
      </c>
      <c r="K160" s="35">
        <v>-1</v>
      </c>
      <c r="L160" s="35">
        <v>-1</v>
      </c>
      <c r="M160" s="35">
        <v>-1</v>
      </c>
      <c r="N160" s="35">
        <v>-1</v>
      </c>
      <c r="O160" s="35">
        <v>-1</v>
      </c>
      <c r="P160" s="35">
        <v>-1</v>
      </c>
      <c r="Q160" s="35">
        <v>-1</v>
      </c>
      <c r="S160" s="5" t="str">
        <f>IF(_xlfn.XLOOKUP(StatTbl[[#This Row],[Join]],TargetSlots[Join],TargetSlots[Join],"Не найдено")&lt;&gt;"Не найдено","Ищем","Не ищем")</f>
        <v>Не ищем</v>
      </c>
      <c r="T160" s="4" t="str">
        <f ca="1">IF(COUNTIFS(OFFSET(D160:$Q160,0,SearchDay-1,,15-SearchDay),"&lt;="&amp; ValidC,OFFSET(D160:$Q160,0,SearchDay-1,,15-SearchDay),"&gt;-1")&gt;0,"Есть слот!","Ничего")</f>
        <v>Ничего</v>
      </c>
      <c r="U160">
        <f ca="1">IF(S160="Ищем",IF(StatTbl[[#This Row],[Доступность]]="Есть слот!",COUNTIFS(OFFSET(D160:$Q160,0,SearchDay-1),"&lt;="&amp; ValidC,OFFSET(D160:$Q160,0,SearchDay-1),"&gt;-1"),0),0)</f>
        <v>0</v>
      </c>
      <c r="V160" t="str" cm="1">
        <f t="array" aca="1" ref="V160" ca="1">IF(StatTbl[[#This Row],[Кол-во слотов]]&gt;0, B160&amp;" "&amp;C160&amp;" "&amp;_xlfn.TEXTJOIN(", ",FALSE,TEXT(_xlfn._xlws.FILTER(OFFSET($D$8:$Q$8,0,SearchDay-1,,15-SearchDay),(OFFSET(D160:Q160,0,SearchDay-1,,15-SearchDay)&gt;-1)*(OFFSET(D160:Q160,0,SearchDay-1,,15-SearchDay)&lt;=ValidC)),"ДД/ММ")),"")</f>
        <v/>
      </c>
      <c r="W160" t="str">
        <f t="shared" si="2"/>
        <v>СЦ БрестQR-поставка</v>
      </c>
      <c r="Y160" s="10"/>
      <c r="Z160" s="10"/>
      <c r="AA160" s="10"/>
      <c r="AB160" s="10"/>
    </row>
    <row r="161" spans="2:28" x14ac:dyDescent="0.45">
      <c r="B161" s="12" t="s">
        <v>44</v>
      </c>
      <c r="C161" s="12" t="s">
        <v>109</v>
      </c>
      <c r="D161" s="35">
        <v>-1</v>
      </c>
      <c r="E161" s="35">
        <v>-1</v>
      </c>
      <c r="F161" s="35">
        <v>-1</v>
      </c>
      <c r="G161" s="35">
        <v>-1</v>
      </c>
      <c r="H161" s="35">
        <v>-1</v>
      </c>
      <c r="I161" s="35">
        <v>-1</v>
      </c>
      <c r="J161" s="35">
        <v>-1</v>
      </c>
      <c r="K161" s="35">
        <v>-1</v>
      </c>
      <c r="L161" s="35">
        <v>-1</v>
      </c>
      <c r="M161" s="35">
        <v>-1</v>
      </c>
      <c r="N161" s="35">
        <v>-1</v>
      </c>
      <c r="O161" s="35">
        <v>-1</v>
      </c>
      <c r="P161" s="35">
        <v>-1</v>
      </c>
      <c r="Q161" s="35">
        <v>-1</v>
      </c>
      <c r="S161" s="5" t="str">
        <f>IF(_xlfn.XLOOKUP(StatTbl[[#This Row],[Join]],TargetSlots[Join],TargetSlots[Join],"Не найдено")&lt;&gt;"Не найдено","Ищем","Не ищем")</f>
        <v>Не ищем</v>
      </c>
      <c r="T161" s="4" t="str">
        <f ca="1">IF(COUNTIFS(OFFSET(D161:$Q161,0,SearchDay-1,,15-SearchDay),"&lt;="&amp; ValidC,OFFSET(D161:$Q161,0,SearchDay-1,,15-SearchDay),"&gt;-1")&gt;0,"Есть слот!","Ничего")</f>
        <v>Ничего</v>
      </c>
      <c r="U161">
        <f ca="1">IF(S161="Ищем",IF(StatTbl[[#This Row],[Доступность]]="Есть слот!",COUNTIFS(OFFSET(D161:$Q161,0,SearchDay-1),"&lt;="&amp; ValidC,OFFSET(D161:$Q161,0,SearchDay-1),"&gt;-1"),0),0)</f>
        <v>0</v>
      </c>
      <c r="V161" t="str" cm="1">
        <f t="array" aca="1" ref="V161" ca="1">IF(StatTbl[[#This Row],[Кол-во слотов]]&gt;0, B161&amp;" "&amp;C161&amp;" "&amp;_xlfn.TEXTJOIN(", ",FALSE,TEXT(_xlfn._xlws.FILTER(OFFSET($D$8:$Q$8,0,SearchDay-1,,15-SearchDay),(OFFSET(D161:Q161,0,SearchDay-1,,15-SearchDay)&gt;-1)*(OFFSET(D161:Q161,0,SearchDay-1,,15-SearchDay)&lt;=ValidC)),"ДД/ММ")),"")</f>
        <v/>
      </c>
      <c r="W161" t="str">
        <f t="shared" si="2"/>
        <v>Сц Брянск 2Короба</v>
      </c>
      <c r="Y161" s="10"/>
      <c r="Z161" s="10"/>
      <c r="AA161" s="10"/>
      <c r="AB161" s="10"/>
    </row>
    <row r="162" spans="2:28" x14ac:dyDescent="0.45">
      <c r="B162" s="12" t="s">
        <v>44</v>
      </c>
      <c r="C162" s="12" t="s">
        <v>110</v>
      </c>
      <c r="D162" s="35">
        <v>-1</v>
      </c>
      <c r="E162" s="35">
        <v>-1</v>
      </c>
      <c r="F162" s="35">
        <v>-1</v>
      </c>
      <c r="G162" s="35">
        <v>-1</v>
      </c>
      <c r="H162" s="35">
        <v>-1</v>
      </c>
      <c r="I162" s="35">
        <v>-1</v>
      </c>
      <c r="J162" s="35">
        <v>-1</v>
      </c>
      <c r="K162" s="35">
        <v>-1</v>
      </c>
      <c r="L162" s="35">
        <v>-1</v>
      </c>
      <c r="M162" s="35">
        <v>-1</v>
      </c>
      <c r="N162" s="35">
        <v>-1</v>
      </c>
      <c r="O162" s="35">
        <v>-1</v>
      </c>
      <c r="P162" s="35">
        <v>-1</v>
      </c>
      <c r="Q162" s="35">
        <v>-1</v>
      </c>
      <c r="S162" s="5" t="str">
        <f>IF(_xlfn.XLOOKUP(StatTbl[[#This Row],[Join]],TargetSlots[Join],TargetSlots[Join],"Не найдено")&lt;&gt;"Не найдено","Ищем","Не ищем")</f>
        <v>Не ищем</v>
      </c>
      <c r="T162" s="4" t="str">
        <f ca="1">IF(COUNTIFS(OFFSET(D162:$Q162,0,SearchDay-1,,15-SearchDay),"&lt;="&amp; ValidC,OFFSET(D162:$Q162,0,SearchDay-1,,15-SearchDay),"&gt;-1")&gt;0,"Есть слот!","Ничего")</f>
        <v>Ничего</v>
      </c>
      <c r="U162">
        <f ca="1">IF(S162="Ищем",IF(StatTbl[[#This Row],[Доступность]]="Есть слот!",COUNTIFS(OFFSET(D162:$Q162,0,SearchDay-1),"&lt;="&amp; ValidC,OFFSET(D162:$Q162,0,SearchDay-1),"&gt;-1"),0),0)</f>
        <v>0</v>
      </c>
      <c r="V162" t="str" cm="1">
        <f t="array" aca="1" ref="V162" ca="1">IF(StatTbl[[#This Row],[Кол-во слотов]]&gt;0, B162&amp;" "&amp;C162&amp;" "&amp;_xlfn.TEXTJOIN(", ",FALSE,TEXT(_xlfn._xlws.FILTER(OFFSET($D$8:$Q$8,0,SearchDay-1,,15-SearchDay),(OFFSET(D162:Q162,0,SearchDay-1,,15-SearchDay)&gt;-1)*(OFFSET(D162:Q162,0,SearchDay-1,,15-SearchDay)&lt;=ValidC)),"ДД/ММ")),"")</f>
        <v/>
      </c>
      <c r="W162" t="str">
        <f t="shared" si="2"/>
        <v>Сц Брянск 2Монопаллеты</v>
      </c>
      <c r="Y162" s="10"/>
      <c r="Z162" s="10"/>
      <c r="AA162" s="10"/>
      <c r="AB162" s="10"/>
    </row>
    <row r="163" spans="2:28" x14ac:dyDescent="0.45">
      <c r="B163" s="12" t="s">
        <v>44</v>
      </c>
      <c r="C163" s="12" t="s">
        <v>6</v>
      </c>
      <c r="D163" s="35">
        <v>-1</v>
      </c>
      <c r="E163" s="35">
        <v>-1</v>
      </c>
      <c r="F163" s="35">
        <v>-1</v>
      </c>
      <c r="G163" s="35">
        <v>-1</v>
      </c>
      <c r="H163" s="35">
        <v>-1</v>
      </c>
      <c r="I163" s="35">
        <v>-1</v>
      </c>
      <c r="J163" s="35">
        <v>-1</v>
      </c>
      <c r="K163" s="35">
        <v>-1</v>
      </c>
      <c r="L163" s="35">
        <v>-1</v>
      </c>
      <c r="M163" s="35">
        <v>-1</v>
      </c>
      <c r="N163" s="35">
        <v>-1</v>
      </c>
      <c r="O163" s="35">
        <v>-1</v>
      </c>
      <c r="P163" s="35">
        <v>-1</v>
      </c>
      <c r="Q163" s="35">
        <v>-1</v>
      </c>
      <c r="S163" s="5" t="str">
        <f>IF(_xlfn.XLOOKUP(StatTbl[[#This Row],[Join]],TargetSlots[Join],TargetSlots[Join],"Не найдено")&lt;&gt;"Не найдено","Ищем","Не ищем")</f>
        <v>Не ищем</v>
      </c>
      <c r="T163" s="4" t="str">
        <f ca="1">IF(COUNTIFS(OFFSET(D163:$Q163,0,SearchDay-1,,15-SearchDay),"&lt;="&amp; ValidC,OFFSET(D163:$Q163,0,SearchDay-1,,15-SearchDay),"&gt;-1")&gt;0,"Есть слот!","Ничего")</f>
        <v>Ничего</v>
      </c>
      <c r="U163">
        <f ca="1">IF(S163="Ищем",IF(StatTbl[[#This Row],[Доступность]]="Есть слот!",COUNTIFS(OFFSET(D163:$Q163,0,SearchDay-1),"&lt;="&amp; ValidC,OFFSET(D163:$Q163,0,SearchDay-1),"&gt;-1"),0),0)</f>
        <v>0</v>
      </c>
      <c r="V163" t="str" cm="1">
        <f t="array" aca="1" ref="V163" ca="1">IF(StatTbl[[#This Row],[Кол-во слотов]]&gt;0, B163&amp;" "&amp;C163&amp;" "&amp;_xlfn.TEXTJOIN(", ",FALSE,TEXT(_xlfn._xlws.FILTER(OFFSET($D$8:$Q$8,0,SearchDay-1,,15-SearchDay),(OFFSET(D163:Q163,0,SearchDay-1,,15-SearchDay)&gt;-1)*(OFFSET(D163:Q163,0,SearchDay-1,,15-SearchDay)&lt;=ValidC)),"ДД/ММ")),"")</f>
        <v/>
      </c>
      <c r="W163" t="str">
        <f t="shared" si="2"/>
        <v>Сц Брянск 2Суперсейф</v>
      </c>
      <c r="Y163" s="10"/>
      <c r="Z163" s="10"/>
      <c r="AA163" s="10"/>
      <c r="AB163" s="10"/>
    </row>
    <row r="164" spans="2:28" x14ac:dyDescent="0.45">
      <c r="B164" s="12" t="s">
        <v>44</v>
      </c>
      <c r="C164" s="12" t="s">
        <v>111</v>
      </c>
      <c r="D164" s="35">
        <v>-1</v>
      </c>
      <c r="E164" s="35">
        <v>-1</v>
      </c>
      <c r="F164" s="35">
        <v>-1</v>
      </c>
      <c r="G164" s="35">
        <v>-1</v>
      </c>
      <c r="H164" s="35">
        <v>-1</v>
      </c>
      <c r="I164" s="35">
        <v>-1</v>
      </c>
      <c r="J164" s="35">
        <v>-1</v>
      </c>
      <c r="K164" s="35">
        <v>-1</v>
      </c>
      <c r="L164" s="35">
        <v>-1</v>
      </c>
      <c r="M164" s="35">
        <v>-1</v>
      </c>
      <c r="N164" s="35">
        <v>-1</v>
      </c>
      <c r="O164" s="35">
        <v>-1</v>
      </c>
      <c r="P164" s="35">
        <v>-1</v>
      </c>
      <c r="Q164" s="35">
        <v>-1</v>
      </c>
      <c r="S164" s="5" t="str">
        <f>IF(_xlfn.XLOOKUP(StatTbl[[#This Row],[Join]],TargetSlots[Join],TargetSlots[Join],"Не найдено")&lt;&gt;"Не найдено","Ищем","Не ищем")</f>
        <v>Не ищем</v>
      </c>
      <c r="T164" s="4" t="str">
        <f ca="1">IF(COUNTIFS(OFFSET(D164:$Q164,0,SearchDay-1,,15-SearchDay),"&lt;="&amp; ValidC,OFFSET(D164:$Q164,0,SearchDay-1,,15-SearchDay),"&gt;-1")&gt;0,"Есть слот!","Ничего")</f>
        <v>Ничего</v>
      </c>
      <c r="U164">
        <f ca="1">IF(S164="Ищем",IF(StatTbl[[#This Row],[Доступность]]="Есть слот!",COUNTIFS(OFFSET(D164:$Q164,0,SearchDay-1),"&lt;="&amp; ValidC,OFFSET(D164:$Q164,0,SearchDay-1),"&gt;-1"),0),0)</f>
        <v>0</v>
      </c>
      <c r="V164" t="str" cm="1">
        <f t="array" aca="1" ref="V164" ca="1">IF(StatTbl[[#This Row],[Кол-во слотов]]&gt;0, B164&amp;" "&amp;C164&amp;" "&amp;_xlfn.TEXTJOIN(", ",FALSE,TEXT(_xlfn._xlws.FILTER(OFFSET($D$8:$Q$8,0,SearchDay-1,,15-SearchDay),(OFFSET(D164:Q164,0,SearchDay-1,,15-SearchDay)&gt;-1)*(OFFSET(D164:Q164,0,SearchDay-1,,15-SearchDay)&lt;=ValidC)),"ДД/ММ")),"")</f>
        <v/>
      </c>
      <c r="W164" t="str">
        <f t="shared" si="2"/>
        <v>Сц Брянск 2QR-поставка</v>
      </c>
      <c r="Y164" s="10"/>
      <c r="Z164" s="10"/>
      <c r="AA164" s="10"/>
      <c r="AB164" s="10"/>
    </row>
    <row r="165" spans="2:28" x14ac:dyDescent="0.45">
      <c r="B165" s="12" t="s">
        <v>45</v>
      </c>
      <c r="C165" s="12" t="s">
        <v>109</v>
      </c>
      <c r="D165" s="35">
        <v>-1</v>
      </c>
      <c r="E165" s="35">
        <v>-1</v>
      </c>
      <c r="F165" s="35">
        <v>-1</v>
      </c>
      <c r="G165" s="35">
        <v>-1</v>
      </c>
      <c r="H165" s="35">
        <v>-1</v>
      </c>
      <c r="I165" s="35">
        <v>-1</v>
      </c>
      <c r="J165" s="35">
        <v>-1</v>
      </c>
      <c r="K165" s="35">
        <v>-1</v>
      </c>
      <c r="L165" s="35">
        <v>-1</v>
      </c>
      <c r="M165" s="35">
        <v>-1</v>
      </c>
      <c r="N165" s="35">
        <v>-1</v>
      </c>
      <c r="O165" s="35">
        <v>-1</v>
      </c>
      <c r="P165" s="35">
        <v>-1</v>
      </c>
      <c r="Q165" s="35">
        <v>-1</v>
      </c>
      <c r="S165" s="5" t="str">
        <f>IF(_xlfn.XLOOKUP(StatTbl[[#This Row],[Join]],TargetSlots[Join],TargetSlots[Join],"Не найдено")&lt;&gt;"Не найдено","Ищем","Не ищем")</f>
        <v>Не ищем</v>
      </c>
      <c r="T165" s="4" t="str">
        <f ca="1">IF(COUNTIFS(OFFSET(D165:$Q165,0,SearchDay-1,,15-SearchDay),"&lt;="&amp; ValidC,OFFSET(D165:$Q165,0,SearchDay-1,,15-SearchDay),"&gt;-1")&gt;0,"Есть слот!","Ничего")</f>
        <v>Ничего</v>
      </c>
      <c r="U165">
        <f ca="1">IF(S165="Ищем",IF(StatTbl[[#This Row],[Доступность]]="Есть слот!",COUNTIFS(OFFSET(D165:$Q165,0,SearchDay-1),"&lt;="&amp; ValidC,OFFSET(D165:$Q165,0,SearchDay-1),"&gt;-1"),0),0)</f>
        <v>0</v>
      </c>
      <c r="V165" t="str" cm="1">
        <f t="array" aca="1" ref="V165" ca="1">IF(StatTbl[[#This Row],[Кол-во слотов]]&gt;0, B165&amp;" "&amp;C165&amp;" "&amp;_xlfn.TEXTJOIN(", ",FALSE,TEXT(_xlfn._xlws.FILTER(OFFSET($D$8:$Q$8,0,SearchDay-1,,15-SearchDay),(OFFSET(D165:Q165,0,SearchDay-1,,15-SearchDay)&gt;-1)*(OFFSET(D165:Q165,0,SearchDay-1,,15-SearchDay)&lt;=ValidC)),"ДД/ММ")),"")</f>
        <v/>
      </c>
      <c r="W165" t="str">
        <f t="shared" si="2"/>
        <v>СЦ ВёшкиКороба</v>
      </c>
      <c r="Y165" s="10"/>
      <c r="Z165" s="10"/>
      <c r="AA165" s="10"/>
      <c r="AB165" s="10"/>
    </row>
    <row r="166" spans="2:28" x14ac:dyDescent="0.45">
      <c r="B166" s="12" t="s">
        <v>45</v>
      </c>
      <c r="C166" s="12" t="s">
        <v>110</v>
      </c>
      <c r="D166" s="35">
        <v>-1</v>
      </c>
      <c r="E166" s="35">
        <v>-1</v>
      </c>
      <c r="F166" s="35">
        <v>-1</v>
      </c>
      <c r="G166" s="35">
        <v>-1</v>
      </c>
      <c r="H166" s="35">
        <v>-1</v>
      </c>
      <c r="I166" s="35">
        <v>-1</v>
      </c>
      <c r="J166" s="35">
        <v>-1</v>
      </c>
      <c r="K166" s="35">
        <v>-1</v>
      </c>
      <c r="L166" s="35">
        <v>-1</v>
      </c>
      <c r="M166" s="35">
        <v>-1</v>
      </c>
      <c r="N166" s="35">
        <v>-1</v>
      </c>
      <c r="O166" s="35">
        <v>-1</v>
      </c>
      <c r="P166" s="35">
        <v>-1</v>
      </c>
      <c r="Q166" s="35">
        <v>-1</v>
      </c>
      <c r="S166" s="5" t="str">
        <f>IF(_xlfn.XLOOKUP(StatTbl[[#This Row],[Join]],TargetSlots[Join],TargetSlots[Join],"Не найдено")&lt;&gt;"Не найдено","Ищем","Не ищем")</f>
        <v>Не ищем</v>
      </c>
      <c r="T166" s="4" t="str">
        <f ca="1">IF(COUNTIFS(OFFSET(D166:$Q166,0,SearchDay-1,,15-SearchDay),"&lt;="&amp; ValidC,OFFSET(D166:$Q166,0,SearchDay-1,,15-SearchDay),"&gt;-1")&gt;0,"Есть слот!","Ничего")</f>
        <v>Ничего</v>
      </c>
      <c r="U166">
        <f ca="1">IF(S166="Ищем",IF(StatTbl[[#This Row],[Доступность]]="Есть слот!",COUNTIFS(OFFSET(D166:$Q166,0,SearchDay-1),"&lt;="&amp; ValidC,OFFSET(D166:$Q166,0,SearchDay-1),"&gt;-1"),0),0)</f>
        <v>0</v>
      </c>
      <c r="V166" t="str" cm="1">
        <f t="array" aca="1" ref="V166" ca="1">IF(StatTbl[[#This Row],[Кол-во слотов]]&gt;0, B166&amp;" "&amp;C166&amp;" "&amp;_xlfn.TEXTJOIN(", ",FALSE,TEXT(_xlfn._xlws.FILTER(OFFSET($D$8:$Q$8,0,SearchDay-1,,15-SearchDay),(OFFSET(D166:Q166,0,SearchDay-1,,15-SearchDay)&gt;-1)*(OFFSET(D166:Q166,0,SearchDay-1,,15-SearchDay)&lt;=ValidC)),"ДД/ММ")),"")</f>
        <v/>
      </c>
      <c r="W166" t="str">
        <f t="shared" si="2"/>
        <v>СЦ ВёшкиМонопаллеты</v>
      </c>
      <c r="Y166" s="10"/>
      <c r="Z166" s="10"/>
      <c r="AA166" s="10"/>
      <c r="AB166" s="10"/>
    </row>
    <row r="167" spans="2:28" x14ac:dyDescent="0.45">
      <c r="B167" s="12" t="s">
        <v>45</v>
      </c>
      <c r="C167" s="12" t="s">
        <v>6</v>
      </c>
      <c r="D167" s="35">
        <v>-1</v>
      </c>
      <c r="E167" s="35">
        <v>-1</v>
      </c>
      <c r="F167" s="35">
        <v>-1</v>
      </c>
      <c r="G167" s="35">
        <v>-1</v>
      </c>
      <c r="H167" s="35">
        <v>-1</v>
      </c>
      <c r="I167" s="35">
        <v>-1</v>
      </c>
      <c r="J167" s="35">
        <v>-1</v>
      </c>
      <c r="K167" s="35">
        <v>-1</v>
      </c>
      <c r="L167" s="35">
        <v>-1</v>
      </c>
      <c r="M167" s="35">
        <v>-1</v>
      </c>
      <c r="N167" s="35">
        <v>-1</v>
      </c>
      <c r="O167" s="35">
        <v>-1</v>
      </c>
      <c r="P167" s="35">
        <v>-1</v>
      </c>
      <c r="Q167" s="35">
        <v>-1</v>
      </c>
      <c r="S167" s="5" t="str">
        <f>IF(_xlfn.XLOOKUP(StatTbl[[#This Row],[Join]],TargetSlots[Join],TargetSlots[Join],"Не найдено")&lt;&gt;"Не найдено","Ищем","Не ищем")</f>
        <v>Не ищем</v>
      </c>
      <c r="T167" s="4" t="str">
        <f ca="1">IF(COUNTIFS(OFFSET(D167:$Q167,0,SearchDay-1,,15-SearchDay),"&lt;="&amp; ValidC,OFFSET(D167:$Q167,0,SearchDay-1,,15-SearchDay),"&gt;-1")&gt;0,"Есть слот!","Ничего")</f>
        <v>Ничего</v>
      </c>
      <c r="U167">
        <f ca="1">IF(S167="Ищем",IF(StatTbl[[#This Row],[Доступность]]="Есть слот!",COUNTIFS(OFFSET(D167:$Q167,0,SearchDay-1),"&lt;="&amp; ValidC,OFFSET(D167:$Q167,0,SearchDay-1),"&gt;-1"),0),0)</f>
        <v>0</v>
      </c>
      <c r="V167" t="str" cm="1">
        <f t="array" aca="1" ref="V167" ca="1">IF(StatTbl[[#This Row],[Кол-во слотов]]&gt;0, B167&amp;" "&amp;C167&amp;" "&amp;_xlfn.TEXTJOIN(", ",FALSE,TEXT(_xlfn._xlws.FILTER(OFFSET($D$8:$Q$8,0,SearchDay-1,,15-SearchDay),(OFFSET(D167:Q167,0,SearchDay-1,,15-SearchDay)&gt;-1)*(OFFSET(D167:Q167,0,SearchDay-1,,15-SearchDay)&lt;=ValidC)),"ДД/ММ")),"")</f>
        <v/>
      </c>
      <c r="W167" t="str">
        <f t="shared" si="2"/>
        <v>СЦ ВёшкиСуперсейф</v>
      </c>
      <c r="Y167" s="10"/>
      <c r="Z167" s="10"/>
      <c r="AA167" s="10"/>
      <c r="AB167" s="10"/>
    </row>
    <row r="168" spans="2:28" x14ac:dyDescent="0.45">
      <c r="B168" s="12" t="s">
        <v>45</v>
      </c>
      <c r="C168" s="12" t="s">
        <v>111</v>
      </c>
      <c r="D168" s="35">
        <v>-1</v>
      </c>
      <c r="E168" s="35">
        <v>-1</v>
      </c>
      <c r="F168" s="35">
        <v>-1</v>
      </c>
      <c r="G168" s="35">
        <v>-1</v>
      </c>
      <c r="H168" s="35">
        <v>-1</v>
      </c>
      <c r="I168" s="35">
        <v>-1</v>
      </c>
      <c r="J168" s="35">
        <v>-1</v>
      </c>
      <c r="K168" s="35">
        <v>-1</v>
      </c>
      <c r="L168" s="35">
        <v>-1</v>
      </c>
      <c r="M168" s="35">
        <v>-1</v>
      </c>
      <c r="N168" s="35">
        <v>-1</v>
      </c>
      <c r="O168" s="35">
        <v>-1</v>
      </c>
      <c r="P168" s="35">
        <v>-1</v>
      </c>
      <c r="Q168" s="35">
        <v>-1</v>
      </c>
      <c r="S168" s="5" t="str">
        <f>IF(_xlfn.XLOOKUP(StatTbl[[#This Row],[Join]],TargetSlots[Join],TargetSlots[Join],"Не найдено")&lt;&gt;"Не найдено","Ищем","Не ищем")</f>
        <v>Не ищем</v>
      </c>
      <c r="T168" s="4" t="str">
        <f ca="1">IF(COUNTIFS(OFFSET(D168:$Q168,0,SearchDay-1,,15-SearchDay),"&lt;="&amp; ValidC,OFFSET(D168:$Q168,0,SearchDay-1,,15-SearchDay),"&gt;-1")&gt;0,"Есть слот!","Ничего")</f>
        <v>Ничего</v>
      </c>
      <c r="U168">
        <f ca="1">IF(S168="Ищем",IF(StatTbl[[#This Row],[Доступность]]="Есть слот!",COUNTIFS(OFFSET(D168:$Q168,0,SearchDay-1),"&lt;="&amp; ValidC,OFFSET(D168:$Q168,0,SearchDay-1),"&gt;-1"),0),0)</f>
        <v>0</v>
      </c>
      <c r="V168" t="str" cm="1">
        <f t="array" aca="1" ref="V168" ca="1">IF(StatTbl[[#This Row],[Кол-во слотов]]&gt;0, B168&amp;" "&amp;C168&amp;" "&amp;_xlfn.TEXTJOIN(", ",FALSE,TEXT(_xlfn._xlws.FILTER(OFFSET($D$8:$Q$8,0,SearchDay-1,,15-SearchDay),(OFFSET(D168:Q168,0,SearchDay-1,,15-SearchDay)&gt;-1)*(OFFSET(D168:Q168,0,SearchDay-1,,15-SearchDay)&lt;=ValidC)),"ДД/ММ")),"")</f>
        <v/>
      </c>
      <c r="W168" t="str">
        <f t="shared" si="2"/>
        <v>СЦ ВёшкиQR-поставка</v>
      </c>
      <c r="Y168" s="10"/>
      <c r="Z168" s="10"/>
      <c r="AA168" s="10"/>
      <c r="AB168" s="10"/>
    </row>
    <row r="169" spans="2:28" x14ac:dyDescent="0.45">
      <c r="B169" s="12" t="s">
        <v>46</v>
      </c>
      <c r="C169" s="12" t="s">
        <v>109</v>
      </c>
      <c r="D169" s="35">
        <v>-1</v>
      </c>
      <c r="E169" s="35">
        <v>-1</v>
      </c>
      <c r="F169" s="35">
        <v>-1</v>
      </c>
      <c r="G169" s="35">
        <v>-1</v>
      </c>
      <c r="H169" s="35">
        <v>-1</v>
      </c>
      <c r="I169" s="35">
        <v>-1</v>
      </c>
      <c r="J169" s="35">
        <v>-1</v>
      </c>
      <c r="K169" s="35">
        <v>-1</v>
      </c>
      <c r="L169" s="35">
        <v>-1</v>
      </c>
      <c r="M169" s="35">
        <v>-1</v>
      </c>
      <c r="N169" s="35">
        <v>-1</v>
      </c>
      <c r="O169" s="35">
        <v>-1</v>
      </c>
      <c r="P169" s="35">
        <v>-1</v>
      </c>
      <c r="Q169" s="35">
        <v>-1</v>
      </c>
      <c r="S169" s="5" t="str">
        <f>IF(_xlfn.XLOOKUP(StatTbl[[#This Row],[Join]],TargetSlots[Join],TargetSlots[Join],"Не найдено")&lt;&gt;"Не найдено","Ищем","Не ищем")</f>
        <v>Не ищем</v>
      </c>
      <c r="T169" s="4" t="str">
        <f ca="1">IF(COUNTIFS(OFFSET(D169:$Q169,0,SearchDay-1,,15-SearchDay),"&lt;="&amp; ValidC,OFFSET(D169:$Q169,0,SearchDay-1,,15-SearchDay),"&gt;-1")&gt;0,"Есть слот!","Ничего")</f>
        <v>Ничего</v>
      </c>
      <c r="U169">
        <f ca="1">IF(S169="Ищем",IF(StatTbl[[#This Row],[Доступность]]="Есть слот!",COUNTIFS(OFFSET(D169:$Q169,0,SearchDay-1),"&lt;="&amp; ValidC,OFFSET(D169:$Q169,0,SearchDay-1),"&gt;-1"),0),0)</f>
        <v>0</v>
      </c>
      <c r="V169" t="str" cm="1">
        <f t="array" aca="1" ref="V169" ca="1">IF(StatTbl[[#This Row],[Кол-во слотов]]&gt;0, B169&amp;" "&amp;C169&amp;" "&amp;_xlfn.TEXTJOIN(", ",FALSE,TEXT(_xlfn._xlws.FILTER(OFFSET($D$8:$Q$8,0,SearchDay-1,,15-SearchDay),(OFFSET(D169:Q169,0,SearchDay-1,,15-SearchDay)&gt;-1)*(OFFSET(D169:Q169,0,SearchDay-1,,15-SearchDay)&lt;=ValidC)),"ДД/ММ")),"")</f>
        <v/>
      </c>
      <c r="W169" t="str">
        <f t="shared" si="2"/>
        <v>СЦ ВидноеКороба</v>
      </c>
      <c r="Y169" s="10"/>
      <c r="Z169" s="10"/>
      <c r="AA169" s="10"/>
      <c r="AB169" s="10"/>
    </row>
    <row r="170" spans="2:28" x14ac:dyDescent="0.45">
      <c r="B170" s="12" t="s">
        <v>46</v>
      </c>
      <c r="C170" s="12" t="s">
        <v>110</v>
      </c>
      <c r="D170" s="35">
        <v>-1</v>
      </c>
      <c r="E170" s="35">
        <v>-1</v>
      </c>
      <c r="F170" s="35">
        <v>-1</v>
      </c>
      <c r="G170" s="35">
        <v>-1</v>
      </c>
      <c r="H170" s="35">
        <v>-1</v>
      </c>
      <c r="I170" s="35">
        <v>-1</v>
      </c>
      <c r="J170" s="35">
        <v>-1</v>
      </c>
      <c r="K170" s="35">
        <v>-1</v>
      </c>
      <c r="L170" s="35">
        <v>-1</v>
      </c>
      <c r="M170" s="35">
        <v>-1</v>
      </c>
      <c r="N170" s="35">
        <v>-1</v>
      </c>
      <c r="O170" s="35">
        <v>-1</v>
      </c>
      <c r="P170" s="35">
        <v>-1</v>
      </c>
      <c r="Q170" s="35">
        <v>-1</v>
      </c>
      <c r="S170" s="5" t="str">
        <f>IF(_xlfn.XLOOKUP(StatTbl[[#This Row],[Join]],TargetSlots[Join],TargetSlots[Join],"Не найдено")&lt;&gt;"Не найдено","Ищем","Не ищем")</f>
        <v>Не ищем</v>
      </c>
      <c r="T170" s="4" t="str">
        <f ca="1">IF(COUNTIFS(OFFSET(D170:$Q170,0,SearchDay-1,,15-SearchDay),"&lt;="&amp; ValidC,OFFSET(D170:$Q170,0,SearchDay-1,,15-SearchDay),"&gt;-1")&gt;0,"Есть слот!","Ничего")</f>
        <v>Ничего</v>
      </c>
      <c r="U170">
        <f ca="1">IF(S170="Ищем",IF(StatTbl[[#This Row],[Доступность]]="Есть слот!",COUNTIFS(OFFSET(D170:$Q170,0,SearchDay-1),"&lt;="&amp; ValidC,OFFSET(D170:$Q170,0,SearchDay-1),"&gt;-1"),0),0)</f>
        <v>0</v>
      </c>
      <c r="V170" t="str" cm="1">
        <f t="array" aca="1" ref="V170" ca="1">IF(StatTbl[[#This Row],[Кол-во слотов]]&gt;0, B170&amp;" "&amp;C170&amp;" "&amp;_xlfn.TEXTJOIN(", ",FALSE,TEXT(_xlfn._xlws.FILTER(OFFSET($D$8:$Q$8,0,SearchDay-1,,15-SearchDay),(OFFSET(D170:Q170,0,SearchDay-1,,15-SearchDay)&gt;-1)*(OFFSET(D170:Q170,0,SearchDay-1,,15-SearchDay)&lt;=ValidC)),"ДД/ММ")),"")</f>
        <v/>
      </c>
      <c r="W170" t="str">
        <f t="shared" si="2"/>
        <v>СЦ ВидноеМонопаллеты</v>
      </c>
      <c r="Y170" s="10"/>
      <c r="Z170" s="10"/>
      <c r="AA170" s="10"/>
      <c r="AB170" s="10"/>
    </row>
    <row r="171" spans="2:28" x14ac:dyDescent="0.45">
      <c r="B171" s="12" t="s">
        <v>46</v>
      </c>
      <c r="C171" s="12" t="s">
        <v>6</v>
      </c>
      <c r="D171" s="35">
        <v>-1</v>
      </c>
      <c r="E171" s="35">
        <v>-1</v>
      </c>
      <c r="F171" s="35">
        <v>-1</v>
      </c>
      <c r="G171" s="35">
        <v>-1</v>
      </c>
      <c r="H171" s="35">
        <v>-1</v>
      </c>
      <c r="I171" s="35">
        <v>-1</v>
      </c>
      <c r="J171" s="35">
        <v>-1</v>
      </c>
      <c r="K171" s="35">
        <v>-1</v>
      </c>
      <c r="L171" s="35">
        <v>-1</v>
      </c>
      <c r="M171" s="35">
        <v>-1</v>
      </c>
      <c r="N171" s="35">
        <v>-1</v>
      </c>
      <c r="O171" s="35">
        <v>-1</v>
      </c>
      <c r="P171" s="35">
        <v>-1</v>
      </c>
      <c r="Q171" s="35">
        <v>-1</v>
      </c>
      <c r="S171" s="5" t="str">
        <f>IF(_xlfn.XLOOKUP(StatTbl[[#This Row],[Join]],TargetSlots[Join],TargetSlots[Join],"Не найдено")&lt;&gt;"Не найдено","Ищем","Не ищем")</f>
        <v>Не ищем</v>
      </c>
      <c r="T171" s="4" t="str">
        <f ca="1">IF(COUNTIFS(OFFSET(D171:$Q171,0,SearchDay-1,,15-SearchDay),"&lt;="&amp; ValidC,OFFSET(D171:$Q171,0,SearchDay-1,,15-SearchDay),"&gt;-1")&gt;0,"Есть слот!","Ничего")</f>
        <v>Ничего</v>
      </c>
      <c r="U171">
        <f ca="1">IF(S171="Ищем",IF(StatTbl[[#This Row],[Доступность]]="Есть слот!",COUNTIFS(OFFSET(D171:$Q171,0,SearchDay-1),"&lt;="&amp; ValidC,OFFSET(D171:$Q171,0,SearchDay-1),"&gt;-1"),0),0)</f>
        <v>0</v>
      </c>
      <c r="V171" t="str" cm="1">
        <f t="array" aca="1" ref="V171" ca="1">IF(StatTbl[[#This Row],[Кол-во слотов]]&gt;0, B171&amp;" "&amp;C171&amp;" "&amp;_xlfn.TEXTJOIN(", ",FALSE,TEXT(_xlfn._xlws.FILTER(OFFSET($D$8:$Q$8,0,SearchDay-1,,15-SearchDay),(OFFSET(D171:Q171,0,SearchDay-1,,15-SearchDay)&gt;-1)*(OFFSET(D171:Q171,0,SearchDay-1,,15-SearchDay)&lt;=ValidC)),"ДД/ММ")),"")</f>
        <v/>
      </c>
      <c r="W171" t="str">
        <f t="shared" si="2"/>
        <v>СЦ ВидноеСуперсейф</v>
      </c>
      <c r="Y171" s="10"/>
      <c r="Z171" s="10"/>
      <c r="AA171" s="10"/>
      <c r="AB171" s="10"/>
    </row>
    <row r="172" spans="2:28" x14ac:dyDescent="0.45">
      <c r="B172" s="12" t="s">
        <v>46</v>
      </c>
      <c r="C172" s="12" t="s">
        <v>111</v>
      </c>
      <c r="D172" s="35">
        <v>-1</v>
      </c>
      <c r="E172" s="35">
        <v>-1</v>
      </c>
      <c r="F172" s="35">
        <v>-1</v>
      </c>
      <c r="G172" s="35">
        <v>-1</v>
      </c>
      <c r="H172" s="35">
        <v>-1</v>
      </c>
      <c r="I172" s="35">
        <v>-1</v>
      </c>
      <c r="J172" s="35">
        <v>-1</v>
      </c>
      <c r="K172" s="35">
        <v>-1</v>
      </c>
      <c r="L172" s="35">
        <v>-1</v>
      </c>
      <c r="M172" s="35">
        <v>-1</v>
      </c>
      <c r="N172" s="35">
        <v>-1</v>
      </c>
      <c r="O172" s="35">
        <v>-1</v>
      </c>
      <c r="P172" s="35">
        <v>-1</v>
      </c>
      <c r="Q172" s="35">
        <v>-1</v>
      </c>
      <c r="S172" s="5" t="str">
        <f>IF(_xlfn.XLOOKUP(StatTbl[[#This Row],[Join]],TargetSlots[Join],TargetSlots[Join],"Не найдено")&lt;&gt;"Не найдено","Ищем","Не ищем")</f>
        <v>Не ищем</v>
      </c>
      <c r="T172" s="4" t="str">
        <f ca="1">IF(COUNTIFS(OFFSET(D172:$Q172,0,SearchDay-1,,15-SearchDay),"&lt;="&amp; ValidC,OFFSET(D172:$Q172,0,SearchDay-1,,15-SearchDay),"&gt;-1")&gt;0,"Есть слот!","Ничего")</f>
        <v>Ничего</v>
      </c>
      <c r="U172">
        <f ca="1">IF(S172="Ищем",IF(StatTbl[[#This Row],[Доступность]]="Есть слот!",COUNTIFS(OFFSET(D172:$Q172,0,SearchDay-1),"&lt;="&amp; ValidC,OFFSET(D172:$Q172,0,SearchDay-1),"&gt;-1"),0),0)</f>
        <v>0</v>
      </c>
      <c r="V172" t="str" cm="1">
        <f t="array" aca="1" ref="V172" ca="1">IF(StatTbl[[#This Row],[Кол-во слотов]]&gt;0, B172&amp;" "&amp;C172&amp;" "&amp;_xlfn.TEXTJOIN(", ",FALSE,TEXT(_xlfn._xlws.FILTER(OFFSET($D$8:$Q$8,0,SearchDay-1,,15-SearchDay),(OFFSET(D172:Q172,0,SearchDay-1,,15-SearchDay)&gt;-1)*(OFFSET(D172:Q172,0,SearchDay-1,,15-SearchDay)&lt;=ValidC)),"ДД/ММ")),"")</f>
        <v/>
      </c>
      <c r="W172" t="str">
        <f t="shared" si="2"/>
        <v>СЦ ВидноеQR-поставка</v>
      </c>
      <c r="Y172" s="10"/>
      <c r="Z172" s="10"/>
      <c r="AA172" s="10"/>
      <c r="AB172" s="10"/>
    </row>
    <row r="173" spans="2:28" x14ac:dyDescent="0.45">
      <c r="B173" s="12" t="s">
        <v>47</v>
      </c>
      <c r="C173" s="12" t="s">
        <v>109</v>
      </c>
      <c r="D173" s="35">
        <v>-1</v>
      </c>
      <c r="E173" s="35">
        <v>-1</v>
      </c>
      <c r="F173" s="35">
        <v>-1</v>
      </c>
      <c r="G173" s="35">
        <v>-1</v>
      </c>
      <c r="H173" s="35">
        <v>-1</v>
      </c>
      <c r="I173" s="35">
        <v>-1</v>
      </c>
      <c r="J173" s="35">
        <v>-1</v>
      </c>
      <c r="K173" s="35">
        <v>-1</v>
      </c>
      <c r="L173" s="35">
        <v>-1</v>
      </c>
      <c r="M173" s="35">
        <v>-1</v>
      </c>
      <c r="N173" s="35">
        <v>-1</v>
      </c>
      <c r="O173" s="35">
        <v>-1</v>
      </c>
      <c r="P173" s="35">
        <v>-1</v>
      </c>
      <c r="Q173" s="35">
        <v>-1</v>
      </c>
      <c r="S173" s="5" t="str">
        <f>IF(_xlfn.XLOOKUP(StatTbl[[#This Row],[Join]],TargetSlots[Join],TargetSlots[Join],"Не найдено")&lt;&gt;"Не найдено","Ищем","Не ищем")</f>
        <v>Не ищем</v>
      </c>
      <c r="T173" s="4" t="str">
        <f ca="1">IF(COUNTIFS(OFFSET(D173:$Q173,0,SearchDay-1,,15-SearchDay),"&lt;="&amp; ValidC,OFFSET(D173:$Q173,0,SearchDay-1,,15-SearchDay),"&gt;-1")&gt;0,"Есть слот!","Ничего")</f>
        <v>Ничего</v>
      </c>
      <c r="U173">
        <f ca="1">IF(S173="Ищем",IF(StatTbl[[#This Row],[Доступность]]="Есть слот!",COUNTIFS(OFFSET(D173:$Q173,0,SearchDay-1),"&lt;="&amp; ValidC,OFFSET(D173:$Q173,0,SearchDay-1),"&gt;-1"),0),0)</f>
        <v>0</v>
      </c>
      <c r="V173" t="str" cm="1">
        <f t="array" aca="1" ref="V173" ca="1">IF(StatTbl[[#This Row],[Кол-во слотов]]&gt;0, B173&amp;" "&amp;C173&amp;" "&amp;_xlfn.TEXTJOIN(", ",FALSE,TEXT(_xlfn._xlws.FILTER(OFFSET($D$8:$Q$8,0,SearchDay-1,,15-SearchDay),(OFFSET(D173:Q173,0,SearchDay-1,,15-SearchDay)&gt;-1)*(OFFSET(D173:Q173,0,SearchDay-1,,15-SearchDay)&lt;=ValidC)),"ДД/ММ")),"")</f>
        <v/>
      </c>
      <c r="W173" t="str">
        <f t="shared" si="2"/>
        <v>СЦ ВладикавказКороба</v>
      </c>
      <c r="Y173" s="10"/>
      <c r="Z173" s="10"/>
      <c r="AA173" s="10"/>
      <c r="AB173" s="10"/>
    </row>
    <row r="174" spans="2:28" x14ac:dyDescent="0.45">
      <c r="B174" s="12" t="s">
        <v>47</v>
      </c>
      <c r="C174" s="12" t="s">
        <v>110</v>
      </c>
      <c r="D174" s="35">
        <v>-1</v>
      </c>
      <c r="E174" s="35">
        <v>-1</v>
      </c>
      <c r="F174" s="35">
        <v>-1</v>
      </c>
      <c r="G174" s="35">
        <v>-1</v>
      </c>
      <c r="H174" s="35">
        <v>-1</v>
      </c>
      <c r="I174" s="35">
        <v>-1</v>
      </c>
      <c r="J174" s="35">
        <v>-1</v>
      </c>
      <c r="K174" s="35">
        <v>-1</v>
      </c>
      <c r="L174" s="35">
        <v>-1</v>
      </c>
      <c r="M174" s="35">
        <v>-1</v>
      </c>
      <c r="N174" s="35">
        <v>-1</v>
      </c>
      <c r="O174" s="35">
        <v>-1</v>
      </c>
      <c r="P174" s="35">
        <v>-1</v>
      </c>
      <c r="Q174" s="35">
        <v>-1</v>
      </c>
      <c r="S174" s="5" t="str">
        <f>IF(_xlfn.XLOOKUP(StatTbl[[#This Row],[Join]],TargetSlots[Join],TargetSlots[Join],"Не найдено")&lt;&gt;"Не найдено","Ищем","Не ищем")</f>
        <v>Не ищем</v>
      </c>
      <c r="T174" s="4" t="str">
        <f ca="1">IF(COUNTIFS(OFFSET(D174:$Q174,0,SearchDay-1,,15-SearchDay),"&lt;="&amp; ValidC,OFFSET(D174:$Q174,0,SearchDay-1,,15-SearchDay),"&gt;-1")&gt;0,"Есть слот!","Ничего")</f>
        <v>Ничего</v>
      </c>
      <c r="U174">
        <f ca="1">IF(S174="Ищем",IF(StatTbl[[#This Row],[Доступность]]="Есть слот!",COUNTIFS(OFFSET(D174:$Q174,0,SearchDay-1),"&lt;="&amp; ValidC,OFFSET(D174:$Q174,0,SearchDay-1),"&gt;-1"),0),0)</f>
        <v>0</v>
      </c>
      <c r="V174" t="str" cm="1">
        <f t="array" aca="1" ref="V174" ca="1">IF(StatTbl[[#This Row],[Кол-во слотов]]&gt;0, B174&amp;" "&amp;C174&amp;" "&amp;_xlfn.TEXTJOIN(", ",FALSE,TEXT(_xlfn._xlws.FILTER(OFFSET($D$8:$Q$8,0,SearchDay-1,,15-SearchDay),(OFFSET(D174:Q174,0,SearchDay-1,,15-SearchDay)&gt;-1)*(OFFSET(D174:Q174,0,SearchDay-1,,15-SearchDay)&lt;=ValidC)),"ДД/ММ")),"")</f>
        <v/>
      </c>
      <c r="W174" t="str">
        <f t="shared" si="2"/>
        <v>СЦ ВладикавказМонопаллеты</v>
      </c>
      <c r="Y174" s="10"/>
      <c r="Z174" s="10"/>
      <c r="AA174" s="10"/>
      <c r="AB174" s="10"/>
    </row>
    <row r="175" spans="2:28" x14ac:dyDescent="0.45">
      <c r="B175" s="12" t="s">
        <v>47</v>
      </c>
      <c r="C175" s="12" t="s">
        <v>6</v>
      </c>
      <c r="D175" s="35">
        <v>-1</v>
      </c>
      <c r="E175" s="35">
        <v>-1</v>
      </c>
      <c r="F175" s="35">
        <v>-1</v>
      </c>
      <c r="G175" s="35">
        <v>-1</v>
      </c>
      <c r="H175" s="35">
        <v>-1</v>
      </c>
      <c r="I175" s="35">
        <v>-1</v>
      </c>
      <c r="J175" s="35">
        <v>-1</v>
      </c>
      <c r="K175" s="35">
        <v>-1</v>
      </c>
      <c r="L175" s="35">
        <v>-1</v>
      </c>
      <c r="M175" s="35">
        <v>-1</v>
      </c>
      <c r="N175" s="35">
        <v>-1</v>
      </c>
      <c r="O175" s="35">
        <v>-1</v>
      </c>
      <c r="P175" s="35">
        <v>-1</v>
      </c>
      <c r="Q175" s="35">
        <v>-1</v>
      </c>
      <c r="S175" s="5" t="str">
        <f>IF(_xlfn.XLOOKUP(StatTbl[[#This Row],[Join]],TargetSlots[Join],TargetSlots[Join],"Не найдено")&lt;&gt;"Не найдено","Ищем","Не ищем")</f>
        <v>Не ищем</v>
      </c>
      <c r="T175" s="4" t="str">
        <f ca="1">IF(COUNTIFS(OFFSET(D175:$Q175,0,SearchDay-1,,15-SearchDay),"&lt;="&amp; ValidC,OFFSET(D175:$Q175,0,SearchDay-1,,15-SearchDay),"&gt;-1")&gt;0,"Есть слот!","Ничего")</f>
        <v>Ничего</v>
      </c>
      <c r="U175">
        <f ca="1">IF(S175="Ищем",IF(StatTbl[[#This Row],[Доступность]]="Есть слот!",COUNTIFS(OFFSET(D175:$Q175,0,SearchDay-1),"&lt;="&amp; ValidC,OFFSET(D175:$Q175,0,SearchDay-1),"&gt;-1"),0),0)</f>
        <v>0</v>
      </c>
      <c r="V175" t="str" cm="1">
        <f t="array" aca="1" ref="V175" ca="1">IF(StatTbl[[#This Row],[Кол-во слотов]]&gt;0, B175&amp;" "&amp;C175&amp;" "&amp;_xlfn.TEXTJOIN(", ",FALSE,TEXT(_xlfn._xlws.FILTER(OFFSET($D$8:$Q$8,0,SearchDay-1,,15-SearchDay),(OFFSET(D175:Q175,0,SearchDay-1,,15-SearchDay)&gt;-1)*(OFFSET(D175:Q175,0,SearchDay-1,,15-SearchDay)&lt;=ValidC)),"ДД/ММ")),"")</f>
        <v/>
      </c>
      <c r="W175" t="str">
        <f t="shared" si="2"/>
        <v>СЦ ВладикавказСуперсейф</v>
      </c>
      <c r="Y175" s="10"/>
      <c r="Z175" s="10"/>
      <c r="AA175" s="10"/>
      <c r="AB175" s="10"/>
    </row>
    <row r="176" spans="2:28" x14ac:dyDescent="0.45">
      <c r="B176" s="12" t="s">
        <v>47</v>
      </c>
      <c r="C176" s="12" t="s">
        <v>111</v>
      </c>
      <c r="D176" s="35">
        <v>5</v>
      </c>
      <c r="E176" s="35">
        <v>5</v>
      </c>
      <c r="F176" s="35">
        <v>5</v>
      </c>
      <c r="G176" s="35">
        <v>5</v>
      </c>
      <c r="H176" s="35">
        <v>2</v>
      </c>
      <c r="I176" s="35">
        <v>2</v>
      </c>
      <c r="J176" s="35">
        <v>2</v>
      </c>
      <c r="K176" s="35">
        <v>2</v>
      </c>
      <c r="L176" s="35">
        <v>2</v>
      </c>
      <c r="M176" s="35">
        <v>2</v>
      </c>
      <c r="N176" s="35">
        <v>2</v>
      </c>
      <c r="O176" s="35">
        <v>-1</v>
      </c>
      <c r="P176" s="35">
        <v>-1</v>
      </c>
      <c r="Q176" s="35">
        <v>-1</v>
      </c>
      <c r="S176" s="5" t="str">
        <f>IF(_xlfn.XLOOKUP(StatTbl[[#This Row],[Join]],TargetSlots[Join],TargetSlots[Join],"Не найдено")&lt;&gt;"Не найдено","Ищем","Не ищем")</f>
        <v>Не ищем</v>
      </c>
      <c r="T176" s="4" t="str">
        <f ca="1">IF(COUNTIFS(OFFSET(D176:$Q176,0,SearchDay-1,,15-SearchDay),"&lt;="&amp; ValidC,OFFSET(D176:$Q176,0,SearchDay-1,,15-SearchDay),"&gt;-1")&gt;0,"Есть слот!","Ничего")</f>
        <v>Есть слот!</v>
      </c>
      <c r="U176">
        <f ca="1">IF(S176="Ищем",IF(StatTbl[[#This Row],[Доступность]]="Есть слот!",COUNTIFS(OFFSET(D176:$Q176,0,SearchDay-1),"&lt;="&amp; ValidC,OFFSET(D176:$Q176,0,SearchDay-1),"&gt;-1"),0),0)</f>
        <v>0</v>
      </c>
      <c r="V176" t="str" cm="1">
        <f t="array" aca="1" ref="V176" ca="1">IF(StatTbl[[#This Row],[Кол-во слотов]]&gt;0, B176&amp;" "&amp;C176&amp;" "&amp;_xlfn.TEXTJOIN(", ",FALSE,TEXT(_xlfn._xlws.FILTER(OFFSET($D$8:$Q$8,0,SearchDay-1,,15-SearchDay),(OFFSET(D176:Q176,0,SearchDay-1,,15-SearchDay)&gt;-1)*(OFFSET(D176:Q176,0,SearchDay-1,,15-SearchDay)&lt;=ValidC)),"ДД/ММ")),"")</f>
        <v/>
      </c>
      <c r="W176" t="str">
        <f t="shared" si="2"/>
        <v>СЦ ВладикавказQR-поставка</v>
      </c>
      <c r="Y176" s="10"/>
      <c r="Z176" s="10"/>
      <c r="AA176" s="10"/>
      <c r="AB176" s="10"/>
    </row>
    <row r="177" spans="2:28" x14ac:dyDescent="0.45">
      <c r="B177" s="12" t="s">
        <v>48</v>
      </c>
      <c r="C177" s="12" t="s">
        <v>109</v>
      </c>
      <c r="D177" s="35">
        <v>-1</v>
      </c>
      <c r="E177" s="35">
        <v>-1</v>
      </c>
      <c r="F177" s="35">
        <v>-1</v>
      </c>
      <c r="G177" s="35">
        <v>-1</v>
      </c>
      <c r="H177" s="35">
        <v>-1</v>
      </c>
      <c r="I177" s="35">
        <v>-1</v>
      </c>
      <c r="J177" s="35">
        <v>-1</v>
      </c>
      <c r="K177" s="35">
        <v>-1</v>
      </c>
      <c r="L177" s="35">
        <v>-1</v>
      </c>
      <c r="M177" s="35">
        <v>-1</v>
      </c>
      <c r="N177" s="35">
        <v>-1</v>
      </c>
      <c r="O177" s="35">
        <v>-1</v>
      </c>
      <c r="P177" s="35">
        <v>-1</v>
      </c>
      <c r="Q177" s="35">
        <v>-1</v>
      </c>
      <c r="S177" s="5" t="str">
        <f>IF(_xlfn.XLOOKUP(StatTbl[[#This Row],[Join]],TargetSlots[Join],TargetSlots[Join],"Не найдено")&lt;&gt;"Не найдено","Ищем","Не ищем")</f>
        <v>Не ищем</v>
      </c>
      <c r="T177" s="4" t="str">
        <f ca="1">IF(COUNTIFS(OFFSET(D177:$Q177,0,SearchDay-1,,15-SearchDay),"&lt;="&amp; ValidC,OFFSET(D177:$Q177,0,SearchDay-1,,15-SearchDay),"&gt;-1")&gt;0,"Есть слот!","Ничего")</f>
        <v>Ничего</v>
      </c>
      <c r="U177">
        <f ca="1">IF(S177="Ищем",IF(StatTbl[[#This Row],[Доступность]]="Есть слот!",COUNTIFS(OFFSET(D177:$Q177,0,SearchDay-1),"&lt;="&amp; ValidC,OFFSET(D177:$Q177,0,SearchDay-1),"&gt;-1"),0),0)</f>
        <v>0</v>
      </c>
      <c r="V177" t="str" cm="1">
        <f t="array" aca="1" ref="V177" ca="1">IF(StatTbl[[#This Row],[Кол-во слотов]]&gt;0, B177&amp;" "&amp;C177&amp;" "&amp;_xlfn.TEXTJOIN(", ",FALSE,TEXT(_xlfn._xlws.FILTER(OFFSET($D$8:$Q$8,0,SearchDay-1,,15-SearchDay),(OFFSET(D177:Q177,0,SearchDay-1,,15-SearchDay)&gt;-1)*(OFFSET(D177:Q177,0,SearchDay-1,,15-SearchDay)&lt;=ValidC)),"ДД/ММ")),"")</f>
        <v/>
      </c>
      <c r="W177" t="str">
        <f t="shared" si="2"/>
        <v>СЦ ВладимирКороба</v>
      </c>
      <c r="Y177" s="10"/>
      <c r="Z177" s="10"/>
      <c r="AA177" s="10"/>
      <c r="AB177" s="10"/>
    </row>
    <row r="178" spans="2:28" x14ac:dyDescent="0.45">
      <c r="B178" s="12" t="s">
        <v>48</v>
      </c>
      <c r="C178" s="12" t="s">
        <v>110</v>
      </c>
      <c r="D178" s="35">
        <v>-1</v>
      </c>
      <c r="E178" s="35">
        <v>-1</v>
      </c>
      <c r="F178" s="35">
        <v>-1</v>
      </c>
      <c r="G178" s="35">
        <v>-1</v>
      </c>
      <c r="H178" s="35">
        <v>-1</v>
      </c>
      <c r="I178" s="35">
        <v>-1</v>
      </c>
      <c r="J178" s="35">
        <v>-1</v>
      </c>
      <c r="K178" s="35">
        <v>-1</v>
      </c>
      <c r="L178" s="35">
        <v>-1</v>
      </c>
      <c r="M178" s="35">
        <v>-1</v>
      </c>
      <c r="N178" s="35">
        <v>-1</v>
      </c>
      <c r="O178" s="35">
        <v>-1</v>
      </c>
      <c r="P178" s="35">
        <v>-1</v>
      </c>
      <c r="Q178" s="35">
        <v>-1</v>
      </c>
      <c r="S178" s="5" t="str">
        <f>IF(_xlfn.XLOOKUP(StatTbl[[#This Row],[Join]],TargetSlots[Join],TargetSlots[Join],"Не найдено")&lt;&gt;"Не найдено","Ищем","Не ищем")</f>
        <v>Не ищем</v>
      </c>
      <c r="T178" s="4" t="str">
        <f ca="1">IF(COUNTIFS(OFFSET(D178:$Q178,0,SearchDay-1,,15-SearchDay),"&lt;="&amp; ValidC,OFFSET(D178:$Q178,0,SearchDay-1,,15-SearchDay),"&gt;-1")&gt;0,"Есть слот!","Ничего")</f>
        <v>Ничего</v>
      </c>
      <c r="U178">
        <f ca="1">IF(S178="Ищем",IF(StatTbl[[#This Row],[Доступность]]="Есть слот!",COUNTIFS(OFFSET(D178:$Q178,0,SearchDay-1),"&lt;="&amp; ValidC,OFFSET(D178:$Q178,0,SearchDay-1),"&gt;-1"),0),0)</f>
        <v>0</v>
      </c>
      <c r="V178" t="str" cm="1">
        <f t="array" aca="1" ref="V178" ca="1">IF(StatTbl[[#This Row],[Кол-во слотов]]&gt;0, B178&amp;" "&amp;C178&amp;" "&amp;_xlfn.TEXTJOIN(", ",FALSE,TEXT(_xlfn._xlws.FILTER(OFFSET($D$8:$Q$8,0,SearchDay-1,,15-SearchDay),(OFFSET(D178:Q178,0,SearchDay-1,,15-SearchDay)&gt;-1)*(OFFSET(D178:Q178,0,SearchDay-1,,15-SearchDay)&lt;=ValidC)),"ДД/ММ")),"")</f>
        <v/>
      </c>
      <c r="W178" t="str">
        <f t="shared" si="2"/>
        <v>СЦ ВладимирМонопаллеты</v>
      </c>
      <c r="Y178" s="10"/>
      <c r="Z178" s="10"/>
      <c r="AA178" s="10"/>
      <c r="AB178" s="10"/>
    </row>
    <row r="179" spans="2:28" x14ac:dyDescent="0.45">
      <c r="B179" s="12" t="s">
        <v>48</v>
      </c>
      <c r="C179" s="12" t="s">
        <v>6</v>
      </c>
      <c r="D179" s="35">
        <v>-1</v>
      </c>
      <c r="E179" s="35">
        <v>-1</v>
      </c>
      <c r="F179" s="35">
        <v>-1</v>
      </c>
      <c r="G179" s="35">
        <v>-1</v>
      </c>
      <c r="H179" s="35">
        <v>-1</v>
      </c>
      <c r="I179" s="35">
        <v>-1</v>
      </c>
      <c r="J179" s="35">
        <v>-1</v>
      </c>
      <c r="K179" s="35">
        <v>-1</v>
      </c>
      <c r="L179" s="35">
        <v>-1</v>
      </c>
      <c r="M179" s="35">
        <v>-1</v>
      </c>
      <c r="N179" s="35">
        <v>-1</v>
      </c>
      <c r="O179" s="35">
        <v>-1</v>
      </c>
      <c r="P179" s="35">
        <v>-1</v>
      </c>
      <c r="Q179" s="35">
        <v>-1</v>
      </c>
      <c r="S179" s="5" t="str">
        <f>IF(_xlfn.XLOOKUP(StatTbl[[#This Row],[Join]],TargetSlots[Join],TargetSlots[Join],"Не найдено")&lt;&gt;"Не найдено","Ищем","Не ищем")</f>
        <v>Не ищем</v>
      </c>
      <c r="T179" s="4" t="str">
        <f ca="1">IF(COUNTIFS(OFFSET(D179:$Q179,0,SearchDay-1,,15-SearchDay),"&lt;="&amp; ValidC,OFFSET(D179:$Q179,0,SearchDay-1,,15-SearchDay),"&gt;-1")&gt;0,"Есть слот!","Ничего")</f>
        <v>Ничего</v>
      </c>
      <c r="U179">
        <f ca="1">IF(S179="Ищем",IF(StatTbl[[#This Row],[Доступность]]="Есть слот!",COUNTIFS(OFFSET(D179:$Q179,0,SearchDay-1),"&lt;="&amp; ValidC,OFFSET(D179:$Q179,0,SearchDay-1),"&gt;-1"),0),0)</f>
        <v>0</v>
      </c>
      <c r="V179" t="str" cm="1">
        <f t="array" aca="1" ref="V179" ca="1">IF(StatTbl[[#This Row],[Кол-во слотов]]&gt;0, B179&amp;" "&amp;C179&amp;" "&amp;_xlfn.TEXTJOIN(", ",FALSE,TEXT(_xlfn._xlws.FILTER(OFFSET($D$8:$Q$8,0,SearchDay-1,,15-SearchDay),(OFFSET(D179:Q179,0,SearchDay-1,,15-SearchDay)&gt;-1)*(OFFSET(D179:Q179,0,SearchDay-1,,15-SearchDay)&lt;=ValidC)),"ДД/ММ")),"")</f>
        <v/>
      </c>
      <c r="W179" t="str">
        <f t="shared" si="2"/>
        <v>СЦ ВладимирСуперсейф</v>
      </c>
      <c r="Y179" s="10"/>
      <c r="Z179" s="10"/>
      <c r="AA179" s="10"/>
      <c r="AB179" s="10"/>
    </row>
    <row r="180" spans="2:28" x14ac:dyDescent="0.45">
      <c r="B180" s="12" t="s">
        <v>48</v>
      </c>
      <c r="C180" s="12" t="s">
        <v>111</v>
      </c>
      <c r="D180" s="35">
        <v>-1</v>
      </c>
      <c r="E180" s="35">
        <v>-1</v>
      </c>
      <c r="F180" s="35">
        <v>-1</v>
      </c>
      <c r="G180" s="35">
        <v>-1</v>
      </c>
      <c r="H180" s="35">
        <v>-1</v>
      </c>
      <c r="I180" s="35">
        <v>-1</v>
      </c>
      <c r="J180" s="35">
        <v>-1</v>
      </c>
      <c r="K180" s="35">
        <v>-1</v>
      </c>
      <c r="L180" s="35">
        <v>-1</v>
      </c>
      <c r="M180" s="35">
        <v>-1</v>
      </c>
      <c r="N180" s="35">
        <v>-1</v>
      </c>
      <c r="O180" s="35">
        <v>-1</v>
      </c>
      <c r="P180" s="35">
        <v>-1</v>
      </c>
      <c r="Q180" s="35">
        <v>-1</v>
      </c>
      <c r="S180" s="5" t="str">
        <f>IF(_xlfn.XLOOKUP(StatTbl[[#This Row],[Join]],TargetSlots[Join],TargetSlots[Join],"Не найдено")&lt;&gt;"Не найдено","Ищем","Не ищем")</f>
        <v>Не ищем</v>
      </c>
      <c r="T180" s="4" t="str">
        <f ca="1">IF(COUNTIFS(OFFSET(D180:$Q180,0,SearchDay-1,,15-SearchDay),"&lt;="&amp; ValidC,OFFSET(D180:$Q180,0,SearchDay-1,,15-SearchDay),"&gt;-1")&gt;0,"Есть слот!","Ничего")</f>
        <v>Ничего</v>
      </c>
      <c r="U180">
        <f ca="1">IF(S180="Ищем",IF(StatTbl[[#This Row],[Доступность]]="Есть слот!",COUNTIFS(OFFSET(D180:$Q180,0,SearchDay-1),"&lt;="&amp; ValidC,OFFSET(D180:$Q180,0,SearchDay-1),"&gt;-1"),0),0)</f>
        <v>0</v>
      </c>
      <c r="V180" t="str" cm="1">
        <f t="array" aca="1" ref="V180" ca="1">IF(StatTbl[[#This Row],[Кол-во слотов]]&gt;0, B180&amp;" "&amp;C180&amp;" "&amp;_xlfn.TEXTJOIN(", ",FALSE,TEXT(_xlfn._xlws.FILTER(OFFSET($D$8:$Q$8,0,SearchDay-1,,15-SearchDay),(OFFSET(D180:Q180,0,SearchDay-1,,15-SearchDay)&gt;-1)*(OFFSET(D180:Q180,0,SearchDay-1,,15-SearchDay)&lt;=ValidC)),"ДД/ММ")),"")</f>
        <v/>
      </c>
      <c r="W180" t="str">
        <f t="shared" si="2"/>
        <v>СЦ ВладимирQR-поставка</v>
      </c>
      <c r="Y180" s="10"/>
      <c r="Z180" s="10"/>
      <c r="AA180" s="10"/>
      <c r="AB180" s="10"/>
    </row>
    <row r="181" spans="2:28" x14ac:dyDescent="0.45">
      <c r="B181" s="12" t="s">
        <v>49</v>
      </c>
      <c r="C181" s="12" t="s">
        <v>109</v>
      </c>
      <c r="D181" s="35">
        <v>20</v>
      </c>
      <c r="E181" s="35">
        <v>20</v>
      </c>
      <c r="F181" s="35">
        <v>20</v>
      </c>
      <c r="G181" s="35">
        <v>20</v>
      </c>
      <c r="H181" s="35">
        <v>20</v>
      </c>
      <c r="I181" s="35">
        <v>20</v>
      </c>
      <c r="J181" s="35">
        <v>20</v>
      </c>
      <c r="K181" s="35">
        <v>20</v>
      </c>
      <c r="L181" s="35">
        <v>20</v>
      </c>
      <c r="M181" s="35">
        <v>20</v>
      </c>
      <c r="N181" s="35">
        <v>20</v>
      </c>
      <c r="O181" s="35">
        <v>20</v>
      </c>
      <c r="P181" s="35">
        <v>20</v>
      </c>
      <c r="Q181" s="35">
        <v>-1</v>
      </c>
      <c r="S181" s="5" t="str">
        <f>IF(_xlfn.XLOOKUP(StatTbl[[#This Row],[Join]],TargetSlots[Join],TargetSlots[Join],"Не найдено")&lt;&gt;"Не найдено","Ищем","Не ищем")</f>
        <v>Не ищем</v>
      </c>
      <c r="T181" s="4" t="str">
        <f ca="1">IF(COUNTIFS(OFFSET(D181:$Q181,0,SearchDay-1,,15-SearchDay),"&lt;="&amp; ValidC,OFFSET(D181:$Q181,0,SearchDay-1,,15-SearchDay),"&gt;-1")&gt;0,"Есть слот!","Ничего")</f>
        <v>Ничего</v>
      </c>
      <c r="U181">
        <f ca="1">IF(S181="Ищем",IF(StatTbl[[#This Row],[Доступность]]="Есть слот!",COUNTIFS(OFFSET(D181:$Q181,0,SearchDay-1),"&lt;="&amp; ValidC,OFFSET(D181:$Q181,0,SearchDay-1),"&gt;-1"),0),0)</f>
        <v>0</v>
      </c>
      <c r="V181" t="str" cm="1">
        <f t="array" aca="1" ref="V181" ca="1">IF(StatTbl[[#This Row],[Кол-во слотов]]&gt;0, B181&amp;" "&amp;C181&amp;" "&amp;_xlfn.TEXTJOIN(", ",FALSE,TEXT(_xlfn._xlws.FILTER(OFFSET($D$8:$Q$8,0,SearchDay-1,,15-SearchDay),(OFFSET(D181:Q181,0,SearchDay-1,,15-SearchDay)&gt;-1)*(OFFSET(D181:Q181,0,SearchDay-1,,15-SearchDay)&lt;=ValidC)),"ДД/ММ")),"")</f>
        <v/>
      </c>
      <c r="W181" t="str">
        <f t="shared" si="2"/>
        <v>СЦ ВнуковоКороба</v>
      </c>
      <c r="Y181" s="10"/>
      <c r="Z181" s="10"/>
      <c r="AA181" s="10"/>
      <c r="AB181" s="10"/>
    </row>
    <row r="182" spans="2:28" x14ac:dyDescent="0.45">
      <c r="B182" s="12" t="s">
        <v>49</v>
      </c>
      <c r="C182" s="12" t="s">
        <v>110</v>
      </c>
      <c r="D182" s="35">
        <v>-1</v>
      </c>
      <c r="E182" s="35">
        <v>-1</v>
      </c>
      <c r="F182" s="35">
        <v>-1</v>
      </c>
      <c r="G182" s="35">
        <v>-1</v>
      </c>
      <c r="H182" s="35">
        <v>-1</v>
      </c>
      <c r="I182" s="35">
        <v>-1</v>
      </c>
      <c r="J182" s="35">
        <v>-1</v>
      </c>
      <c r="K182" s="35">
        <v>-1</v>
      </c>
      <c r="L182" s="35">
        <v>-1</v>
      </c>
      <c r="M182" s="35">
        <v>-1</v>
      </c>
      <c r="N182" s="35">
        <v>-1</v>
      </c>
      <c r="O182" s="35">
        <v>-1</v>
      </c>
      <c r="P182" s="35">
        <v>-1</v>
      </c>
      <c r="Q182" s="35">
        <v>-1</v>
      </c>
      <c r="S182" s="5" t="str">
        <f>IF(_xlfn.XLOOKUP(StatTbl[[#This Row],[Join]],TargetSlots[Join],TargetSlots[Join],"Не найдено")&lt;&gt;"Не найдено","Ищем","Не ищем")</f>
        <v>Не ищем</v>
      </c>
      <c r="T182" s="4" t="str">
        <f ca="1">IF(COUNTIFS(OFFSET(D182:$Q182,0,SearchDay-1,,15-SearchDay),"&lt;="&amp; ValidC,OFFSET(D182:$Q182,0,SearchDay-1,,15-SearchDay),"&gt;-1")&gt;0,"Есть слот!","Ничего")</f>
        <v>Ничего</v>
      </c>
      <c r="U182">
        <f ca="1">IF(S182="Ищем",IF(StatTbl[[#This Row],[Доступность]]="Есть слот!",COUNTIFS(OFFSET(D182:$Q182,0,SearchDay-1),"&lt;="&amp; ValidC,OFFSET(D182:$Q182,0,SearchDay-1),"&gt;-1"),0),0)</f>
        <v>0</v>
      </c>
      <c r="V182" t="str" cm="1">
        <f t="array" aca="1" ref="V182" ca="1">IF(StatTbl[[#This Row],[Кол-во слотов]]&gt;0, B182&amp;" "&amp;C182&amp;" "&amp;_xlfn.TEXTJOIN(", ",FALSE,TEXT(_xlfn._xlws.FILTER(OFFSET($D$8:$Q$8,0,SearchDay-1,,15-SearchDay),(OFFSET(D182:Q182,0,SearchDay-1,,15-SearchDay)&gt;-1)*(OFFSET(D182:Q182,0,SearchDay-1,,15-SearchDay)&lt;=ValidC)),"ДД/ММ")),"")</f>
        <v/>
      </c>
      <c r="W182" t="str">
        <f t="shared" si="2"/>
        <v>СЦ ВнуковоМонопаллеты</v>
      </c>
      <c r="Y182" s="10"/>
      <c r="Z182" s="10"/>
      <c r="AA182" s="10"/>
      <c r="AB182" s="10"/>
    </row>
    <row r="183" spans="2:28" x14ac:dyDescent="0.45">
      <c r="B183" s="12" t="s">
        <v>49</v>
      </c>
      <c r="C183" s="12" t="s">
        <v>6</v>
      </c>
      <c r="D183" s="35">
        <v>-1</v>
      </c>
      <c r="E183" s="35">
        <v>-1</v>
      </c>
      <c r="F183" s="35">
        <v>-1</v>
      </c>
      <c r="G183" s="35">
        <v>-1</v>
      </c>
      <c r="H183" s="35">
        <v>-1</v>
      </c>
      <c r="I183" s="35">
        <v>-1</v>
      </c>
      <c r="J183" s="35">
        <v>-1</v>
      </c>
      <c r="K183" s="35">
        <v>-1</v>
      </c>
      <c r="L183" s="35">
        <v>-1</v>
      </c>
      <c r="M183" s="35">
        <v>-1</v>
      </c>
      <c r="N183" s="35">
        <v>-1</v>
      </c>
      <c r="O183" s="35">
        <v>-1</v>
      </c>
      <c r="P183" s="35">
        <v>-1</v>
      </c>
      <c r="Q183" s="35">
        <v>-1</v>
      </c>
      <c r="S183" s="5" t="str">
        <f>IF(_xlfn.XLOOKUP(StatTbl[[#This Row],[Join]],TargetSlots[Join],TargetSlots[Join],"Не найдено")&lt;&gt;"Не найдено","Ищем","Не ищем")</f>
        <v>Не ищем</v>
      </c>
      <c r="T183" s="4" t="str">
        <f ca="1">IF(COUNTIFS(OFFSET(D183:$Q183,0,SearchDay-1,,15-SearchDay),"&lt;="&amp; ValidC,OFFSET(D183:$Q183,0,SearchDay-1,,15-SearchDay),"&gt;-1")&gt;0,"Есть слот!","Ничего")</f>
        <v>Ничего</v>
      </c>
      <c r="U183">
        <f ca="1">IF(S183="Ищем",IF(StatTbl[[#This Row],[Доступность]]="Есть слот!",COUNTIFS(OFFSET(D183:$Q183,0,SearchDay-1),"&lt;="&amp; ValidC,OFFSET(D183:$Q183,0,SearchDay-1),"&gt;-1"),0),0)</f>
        <v>0</v>
      </c>
      <c r="V183" t="str" cm="1">
        <f t="array" aca="1" ref="V183" ca="1">IF(StatTbl[[#This Row],[Кол-во слотов]]&gt;0, B183&amp;" "&amp;C183&amp;" "&amp;_xlfn.TEXTJOIN(", ",FALSE,TEXT(_xlfn._xlws.FILTER(OFFSET($D$8:$Q$8,0,SearchDay-1,,15-SearchDay),(OFFSET(D183:Q183,0,SearchDay-1,,15-SearchDay)&gt;-1)*(OFFSET(D183:Q183,0,SearchDay-1,,15-SearchDay)&lt;=ValidC)),"ДД/ММ")),"")</f>
        <v/>
      </c>
      <c r="W183" t="str">
        <f t="shared" si="2"/>
        <v>СЦ ВнуковоСуперсейф</v>
      </c>
      <c r="Y183" s="10"/>
      <c r="Z183" s="10"/>
      <c r="AA183" s="10"/>
      <c r="AB183" s="10"/>
    </row>
    <row r="184" spans="2:28" x14ac:dyDescent="0.45">
      <c r="B184" s="12" t="s">
        <v>49</v>
      </c>
      <c r="C184" s="12" t="s">
        <v>111</v>
      </c>
      <c r="D184" s="35">
        <v>-1</v>
      </c>
      <c r="E184" s="35">
        <v>-1</v>
      </c>
      <c r="F184" s="35">
        <v>-1</v>
      </c>
      <c r="G184" s="35">
        <v>-1</v>
      </c>
      <c r="H184" s="35">
        <v>-1</v>
      </c>
      <c r="I184" s="35">
        <v>-1</v>
      </c>
      <c r="J184" s="35">
        <v>-1</v>
      </c>
      <c r="K184" s="35">
        <v>-1</v>
      </c>
      <c r="L184" s="35">
        <v>-1</v>
      </c>
      <c r="M184" s="35">
        <v>-1</v>
      </c>
      <c r="N184" s="35">
        <v>-1</v>
      </c>
      <c r="O184" s="35">
        <v>-1</v>
      </c>
      <c r="P184" s="35">
        <v>-1</v>
      </c>
      <c r="Q184" s="35">
        <v>-1</v>
      </c>
      <c r="S184" s="5" t="str">
        <f>IF(_xlfn.XLOOKUP(StatTbl[[#This Row],[Join]],TargetSlots[Join],TargetSlots[Join],"Не найдено")&lt;&gt;"Не найдено","Ищем","Не ищем")</f>
        <v>Не ищем</v>
      </c>
      <c r="T184" s="4" t="str">
        <f ca="1">IF(COUNTIFS(OFFSET(D184:$Q184,0,SearchDay-1,,15-SearchDay),"&lt;="&amp; ValidC,OFFSET(D184:$Q184,0,SearchDay-1,,15-SearchDay),"&gt;-1")&gt;0,"Есть слот!","Ничего")</f>
        <v>Ничего</v>
      </c>
      <c r="U184">
        <f ca="1">IF(S184="Ищем",IF(StatTbl[[#This Row],[Доступность]]="Есть слот!",COUNTIFS(OFFSET(D184:$Q184,0,SearchDay-1),"&lt;="&amp; ValidC,OFFSET(D184:$Q184,0,SearchDay-1),"&gt;-1"),0),0)</f>
        <v>0</v>
      </c>
      <c r="V184" t="str" cm="1">
        <f t="array" aca="1" ref="V184" ca="1">IF(StatTbl[[#This Row],[Кол-во слотов]]&gt;0, B184&amp;" "&amp;C184&amp;" "&amp;_xlfn.TEXTJOIN(", ",FALSE,TEXT(_xlfn._xlws.FILTER(OFFSET($D$8:$Q$8,0,SearchDay-1,,15-SearchDay),(OFFSET(D184:Q184,0,SearchDay-1,,15-SearchDay)&gt;-1)*(OFFSET(D184:Q184,0,SearchDay-1,,15-SearchDay)&lt;=ValidC)),"ДД/ММ")),"")</f>
        <v/>
      </c>
      <c r="W184" t="str">
        <f t="shared" si="2"/>
        <v>СЦ ВнуковоQR-поставка</v>
      </c>
      <c r="Y184" s="10"/>
      <c r="Z184" s="10"/>
      <c r="AA184" s="10"/>
      <c r="AB184" s="10"/>
    </row>
    <row r="185" spans="2:28" x14ac:dyDescent="0.45">
      <c r="B185" s="12" t="s">
        <v>50</v>
      </c>
      <c r="C185" s="12" t="s">
        <v>109</v>
      </c>
      <c r="D185" s="35">
        <v>-1</v>
      </c>
      <c r="E185" s="35">
        <v>-1</v>
      </c>
      <c r="F185" s="35">
        <v>-1</v>
      </c>
      <c r="G185" s="35">
        <v>-1</v>
      </c>
      <c r="H185" s="35">
        <v>-1</v>
      </c>
      <c r="I185" s="35">
        <v>-1</v>
      </c>
      <c r="J185" s="35">
        <v>-1</v>
      </c>
      <c r="K185" s="35">
        <v>-1</v>
      </c>
      <c r="L185" s="35">
        <v>-1</v>
      </c>
      <c r="M185" s="35">
        <v>-1</v>
      </c>
      <c r="N185" s="35">
        <v>-1</v>
      </c>
      <c r="O185" s="35">
        <v>-1</v>
      </c>
      <c r="P185" s="35">
        <v>-1</v>
      </c>
      <c r="Q185" s="35">
        <v>-1</v>
      </c>
      <c r="S185" s="5" t="str">
        <f>IF(_xlfn.XLOOKUP(StatTbl[[#This Row],[Join]],TargetSlots[Join],TargetSlots[Join],"Не найдено")&lt;&gt;"Не найдено","Ищем","Не ищем")</f>
        <v>Не ищем</v>
      </c>
      <c r="T185" s="4" t="str">
        <f ca="1">IF(COUNTIFS(OFFSET(D185:$Q185,0,SearchDay-1,,15-SearchDay),"&lt;="&amp; ValidC,OFFSET(D185:$Q185,0,SearchDay-1,,15-SearchDay),"&gt;-1")&gt;0,"Есть слот!","Ничего")</f>
        <v>Ничего</v>
      </c>
      <c r="U185">
        <f ca="1">IF(S185="Ищем",IF(StatTbl[[#This Row],[Доступность]]="Есть слот!",COUNTIFS(OFFSET(D185:$Q185,0,SearchDay-1),"&lt;="&amp; ValidC,OFFSET(D185:$Q185,0,SearchDay-1),"&gt;-1"),0),0)</f>
        <v>0</v>
      </c>
      <c r="V185" t="str" cm="1">
        <f t="array" aca="1" ref="V185" ca="1">IF(StatTbl[[#This Row],[Кол-во слотов]]&gt;0, B185&amp;" "&amp;C185&amp;" "&amp;_xlfn.TEXTJOIN(", ",FALSE,TEXT(_xlfn._xlws.FILTER(OFFSET($D$8:$Q$8,0,SearchDay-1,,15-SearchDay),(OFFSET(D185:Q185,0,SearchDay-1,,15-SearchDay)&gt;-1)*(OFFSET(D185:Q185,0,SearchDay-1,,15-SearchDay)&lt;=ValidC)),"ДД/ММ")),"")</f>
        <v/>
      </c>
      <c r="W185" t="str">
        <f t="shared" si="2"/>
        <v>СЦ ВологдаКороба</v>
      </c>
      <c r="Y185" s="10"/>
      <c r="Z185" s="10"/>
      <c r="AA185" s="10"/>
      <c r="AB185" s="10"/>
    </row>
    <row r="186" spans="2:28" x14ac:dyDescent="0.45">
      <c r="B186" s="12" t="s">
        <v>50</v>
      </c>
      <c r="C186" s="12" t="s">
        <v>110</v>
      </c>
      <c r="D186" s="35">
        <v>-1</v>
      </c>
      <c r="E186" s="35">
        <v>-1</v>
      </c>
      <c r="F186" s="35">
        <v>-1</v>
      </c>
      <c r="G186" s="35">
        <v>-1</v>
      </c>
      <c r="H186" s="35">
        <v>-1</v>
      </c>
      <c r="I186" s="35">
        <v>-1</v>
      </c>
      <c r="J186" s="35">
        <v>-1</v>
      </c>
      <c r="K186" s="35">
        <v>-1</v>
      </c>
      <c r="L186" s="35">
        <v>-1</v>
      </c>
      <c r="M186" s="35">
        <v>-1</v>
      </c>
      <c r="N186" s="35">
        <v>-1</v>
      </c>
      <c r="O186" s="35">
        <v>-1</v>
      </c>
      <c r="P186" s="35">
        <v>-1</v>
      </c>
      <c r="Q186" s="35">
        <v>-1</v>
      </c>
      <c r="S186" s="5" t="str">
        <f>IF(_xlfn.XLOOKUP(StatTbl[[#This Row],[Join]],TargetSlots[Join],TargetSlots[Join],"Не найдено")&lt;&gt;"Не найдено","Ищем","Не ищем")</f>
        <v>Не ищем</v>
      </c>
      <c r="T186" s="4" t="str">
        <f ca="1">IF(COUNTIFS(OFFSET(D186:$Q186,0,SearchDay-1,,15-SearchDay),"&lt;="&amp; ValidC,OFFSET(D186:$Q186,0,SearchDay-1,,15-SearchDay),"&gt;-1")&gt;0,"Есть слот!","Ничего")</f>
        <v>Ничего</v>
      </c>
      <c r="U186">
        <f ca="1">IF(S186="Ищем",IF(StatTbl[[#This Row],[Доступность]]="Есть слот!",COUNTIFS(OFFSET(D186:$Q186,0,SearchDay-1),"&lt;="&amp; ValidC,OFFSET(D186:$Q186,0,SearchDay-1),"&gt;-1"),0),0)</f>
        <v>0</v>
      </c>
      <c r="V186" t="str" cm="1">
        <f t="array" aca="1" ref="V186" ca="1">IF(StatTbl[[#This Row],[Кол-во слотов]]&gt;0, B186&amp;" "&amp;C186&amp;" "&amp;_xlfn.TEXTJOIN(", ",FALSE,TEXT(_xlfn._xlws.FILTER(OFFSET($D$8:$Q$8,0,SearchDay-1,,15-SearchDay),(OFFSET(D186:Q186,0,SearchDay-1,,15-SearchDay)&gt;-1)*(OFFSET(D186:Q186,0,SearchDay-1,,15-SearchDay)&lt;=ValidC)),"ДД/ММ")),"")</f>
        <v/>
      </c>
      <c r="W186" t="str">
        <f t="shared" si="2"/>
        <v>СЦ ВологдаМонопаллеты</v>
      </c>
      <c r="Y186" s="10"/>
      <c r="Z186" s="10"/>
      <c r="AA186" s="10"/>
      <c r="AB186" s="10"/>
    </row>
    <row r="187" spans="2:28" x14ac:dyDescent="0.45">
      <c r="B187" s="12" t="s">
        <v>50</v>
      </c>
      <c r="C187" s="12" t="s">
        <v>6</v>
      </c>
      <c r="D187" s="35">
        <v>-1</v>
      </c>
      <c r="E187" s="35">
        <v>-1</v>
      </c>
      <c r="F187" s="35">
        <v>-1</v>
      </c>
      <c r="G187" s="35">
        <v>-1</v>
      </c>
      <c r="H187" s="35">
        <v>-1</v>
      </c>
      <c r="I187" s="35">
        <v>-1</v>
      </c>
      <c r="J187" s="35">
        <v>-1</v>
      </c>
      <c r="K187" s="35">
        <v>-1</v>
      </c>
      <c r="L187" s="35">
        <v>-1</v>
      </c>
      <c r="M187" s="35">
        <v>-1</v>
      </c>
      <c r="N187" s="35">
        <v>-1</v>
      </c>
      <c r="O187" s="35">
        <v>-1</v>
      </c>
      <c r="P187" s="35">
        <v>-1</v>
      </c>
      <c r="Q187" s="35">
        <v>-1</v>
      </c>
      <c r="S187" s="5" t="str">
        <f>IF(_xlfn.XLOOKUP(StatTbl[[#This Row],[Join]],TargetSlots[Join],TargetSlots[Join],"Не найдено")&lt;&gt;"Не найдено","Ищем","Не ищем")</f>
        <v>Не ищем</v>
      </c>
      <c r="T187" s="4" t="str">
        <f ca="1">IF(COUNTIFS(OFFSET(D187:$Q187,0,SearchDay-1,,15-SearchDay),"&lt;="&amp; ValidC,OFFSET(D187:$Q187,0,SearchDay-1,,15-SearchDay),"&gt;-1")&gt;0,"Есть слот!","Ничего")</f>
        <v>Ничего</v>
      </c>
      <c r="U187">
        <f ca="1">IF(S187="Ищем",IF(StatTbl[[#This Row],[Доступность]]="Есть слот!",COUNTIFS(OFFSET(D187:$Q187,0,SearchDay-1),"&lt;="&amp; ValidC,OFFSET(D187:$Q187,0,SearchDay-1),"&gt;-1"),0),0)</f>
        <v>0</v>
      </c>
      <c r="V187" t="str" cm="1">
        <f t="array" aca="1" ref="V187" ca="1">IF(StatTbl[[#This Row],[Кол-во слотов]]&gt;0, B187&amp;" "&amp;C187&amp;" "&amp;_xlfn.TEXTJOIN(", ",FALSE,TEXT(_xlfn._xlws.FILTER(OFFSET($D$8:$Q$8,0,SearchDay-1,,15-SearchDay),(OFFSET(D187:Q187,0,SearchDay-1,,15-SearchDay)&gt;-1)*(OFFSET(D187:Q187,0,SearchDay-1,,15-SearchDay)&lt;=ValidC)),"ДД/ММ")),"")</f>
        <v/>
      </c>
      <c r="W187" t="str">
        <f t="shared" si="2"/>
        <v>СЦ ВологдаСуперсейф</v>
      </c>
      <c r="Y187" s="10"/>
      <c r="Z187" s="10"/>
      <c r="AA187" s="10"/>
      <c r="AB187" s="10"/>
    </row>
    <row r="188" spans="2:28" x14ac:dyDescent="0.45">
      <c r="B188" s="12" t="s">
        <v>50</v>
      </c>
      <c r="C188" s="12" t="s">
        <v>111</v>
      </c>
      <c r="D188" s="35">
        <v>-1</v>
      </c>
      <c r="E188" s="35">
        <v>-1</v>
      </c>
      <c r="F188" s="35">
        <v>-1</v>
      </c>
      <c r="G188" s="35">
        <v>-1</v>
      </c>
      <c r="H188" s="35">
        <v>-1</v>
      </c>
      <c r="I188" s="35">
        <v>-1</v>
      </c>
      <c r="J188" s="35">
        <v>-1</v>
      </c>
      <c r="K188" s="35">
        <v>-1</v>
      </c>
      <c r="L188" s="35">
        <v>-1</v>
      </c>
      <c r="M188" s="35">
        <v>-1</v>
      </c>
      <c r="N188" s="35">
        <v>-1</v>
      </c>
      <c r="O188" s="35">
        <v>-1</v>
      </c>
      <c r="P188" s="35">
        <v>-1</v>
      </c>
      <c r="Q188" s="35">
        <v>-1</v>
      </c>
      <c r="S188" s="5" t="str">
        <f>IF(_xlfn.XLOOKUP(StatTbl[[#This Row],[Join]],TargetSlots[Join],TargetSlots[Join],"Не найдено")&lt;&gt;"Не найдено","Ищем","Не ищем")</f>
        <v>Не ищем</v>
      </c>
      <c r="T188" s="4" t="str">
        <f ca="1">IF(COUNTIFS(OFFSET(D188:$Q188,0,SearchDay-1,,15-SearchDay),"&lt;="&amp; ValidC,OFFSET(D188:$Q188,0,SearchDay-1,,15-SearchDay),"&gt;-1")&gt;0,"Есть слот!","Ничего")</f>
        <v>Ничего</v>
      </c>
      <c r="U188">
        <f ca="1">IF(S188="Ищем",IF(StatTbl[[#This Row],[Доступность]]="Есть слот!",COUNTIFS(OFFSET(D188:$Q188,0,SearchDay-1),"&lt;="&amp; ValidC,OFFSET(D188:$Q188,0,SearchDay-1),"&gt;-1"),0),0)</f>
        <v>0</v>
      </c>
      <c r="V188" t="str" cm="1">
        <f t="array" aca="1" ref="V188" ca="1">IF(StatTbl[[#This Row],[Кол-во слотов]]&gt;0, B188&amp;" "&amp;C188&amp;" "&amp;_xlfn.TEXTJOIN(", ",FALSE,TEXT(_xlfn._xlws.FILTER(OFFSET($D$8:$Q$8,0,SearchDay-1,,15-SearchDay),(OFFSET(D188:Q188,0,SearchDay-1,,15-SearchDay)&gt;-1)*(OFFSET(D188:Q188,0,SearchDay-1,,15-SearchDay)&lt;=ValidC)),"ДД/ММ")),"")</f>
        <v/>
      </c>
      <c r="W188" t="str">
        <f t="shared" si="2"/>
        <v>СЦ ВологдаQR-поставка</v>
      </c>
      <c r="Y188" s="10"/>
      <c r="Z188" s="10"/>
      <c r="AA188" s="10"/>
      <c r="AB188" s="10"/>
    </row>
    <row r="189" spans="2:28" x14ac:dyDescent="0.45">
      <c r="B189" s="12" t="s">
        <v>51</v>
      </c>
      <c r="C189" s="12" t="s">
        <v>109</v>
      </c>
      <c r="D189" s="35">
        <v>2</v>
      </c>
      <c r="E189" s="35">
        <v>-1</v>
      </c>
      <c r="F189" s="35">
        <v>2</v>
      </c>
      <c r="G189" s="35">
        <v>-1</v>
      </c>
      <c r="H189" s="35">
        <v>-1</v>
      </c>
      <c r="I189" s="35">
        <v>-1</v>
      </c>
      <c r="J189" s="35">
        <v>-1</v>
      </c>
      <c r="K189" s="35">
        <v>-1</v>
      </c>
      <c r="L189" s="35">
        <v>-1</v>
      </c>
      <c r="M189" s="35">
        <v>-1</v>
      </c>
      <c r="N189" s="35">
        <v>-1</v>
      </c>
      <c r="O189" s="35">
        <v>-1</v>
      </c>
      <c r="P189" s="35">
        <v>-1</v>
      </c>
      <c r="Q189" s="35">
        <v>-1</v>
      </c>
      <c r="S189" s="5" t="str">
        <f>IF(_xlfn.XLOOKUP(StatTbl[[#This Row],[Join]],TargetSlots[Join],TargetSlots[Join],"Не найдено")&lt;&gt;"Не найдено","Ищем","Не ищем")</f>
        <v>Не ищем</v>
      </c>
      <c r="T189" s="4" t="str">
        <f ca="1">IF(COUNTIFS(OFFSET(D189:$Q189,0,SearchDay-1,,15-SearchDay),"&lt;="&amp; ValidC,OFFSET(D189:$Q189,0,SearchDay-1,,15-SearchDay),"&gt;-1")&gt;0,"Есть слот!","Ничего")</f>
        <v>Есть слот!</v>
      </c>
      <c r="U189">
        <f ca="1">IF(S189="Ищем",IF(StatTbl[[#This Row],[Доступность]]="Есть слот!",COUNTIFS(OFFSET(D189:$Q189,0,SearchDay-1),"&lt;="&amp; ValidC,OFFSET(D189:$Q189,0,SearchDay-1),"&gt;-1"),0),0)</f>
        <v>0</v>
      </c>
      <c r="V189" t="str" cm="1">
        <f t="array" aca="1" ref="V189" ca="1">IF(StatTbl[[#This Row],[Кол-во слотов]]&gt;0, B189&amp;" "&amp;C189&amp;" "&amp;_xlfn.TEXTJOIN(", ",FALSE,TEXT(_xlfn._xlws.FILTER(OFFSET($D$8:$Q$8,0,SearchDay-1,,15-SearchDay),(OFFSET(D189:Q189,0,SearchDay-1,,15-SearchDay)&gt;-1)*(OFFSET(D189:Q189,0,SearchDay-1,,15-SearchDay)&lt;=ValidC)),"ДД/ММ")),"")</f>
        <v/>
      </c>
      <c r="W189" t="str">
        <f t="shared" si="2"/>
        <v>СЦ Вологда 2Короба</v>
      </c>
      <c r="Y189" s="10"/>
      <c r="Z189" s="10"/>
      <c r="AA189" s="10"/>
      <c r="AB189" s="10"/>
    </row>
    <row r="190" spans="2:28" x14ac:dyDescent="0.45">
      <c r="B190" s="12" t="s">
        <v>51</v>
      </c>
      <c r="C190" s="12" t="s">
        <v>110</v>
      </c>
      <c r="D190" s="35">
        <v>-1</v>
      </c>
      <c r="E190" s="35">
        <v>-1</v>
      </c>
      <c r="F190" s="35">
        <v>-1</v>
      </c>
      <c r="G190" s="35">
        <v>-1</v>
      </c>
      <c r="H190" s="35">
        <v>-1</v>
      </c>
      <c r="I190" s="35">
        <v>-1</v>
      </c>
      <c r="J190" s="35">
        <v>-1</v>
      </c>
      <c r="K190" s="35">
        <v>-1</v>
      </c>
      <c r="L190" s="35">
        <v>-1</v>
      </c>
      <c r="M190" s="35">
        <v>-1</v>
      </c>
      <c r="N190" s="35">
        <v>-1</v>
      </c>
      <c r="O190" s="35">
        <v>-1</v>
      </c>
      <c r="P190" s="35">
        <v>-1</v>
      </c>
      <c r="Q190" s="35">
        <v>-1</v>
      </c>
      <c r="S190" s="5" t="str">
        <f>IF(_xlfn.XLOOKUP(StatTbl[[#This Row],[Join]],TargetSlots[Join],TargetSlots[Join],"Не найдено")&lt;&gt;"Не найдено","Ищем","Не ищем")</f>
        <v>Не ищем</v>
      </c>
      <c r="T190" s="4" t="str">
        <f ca="1">IF(COUNTIFS(OFFSET(D190:$Q190,0,SearchDay-1,,15-SearchDay),"&lt;="&amp; ValidC,OFFSET(D190:$Q190,0,SearchDay-1,,15-SearchDay),"&gt;-1")&gt;0,"Есть слот!","Ничего")</f>
        <v>Ничего</v>
      </c>
      <c r="U190">
        <f ca="1">IF(S190="Ищем",IF(StatTbl[[#This Row],[Доступность]]="Есть слот!",COUNTIFS(OFFSET(D190:$Q190,0,SearchDay-1),"&lt;="&amp; ValidC,OFFSET(D190:$Q190,0,SearchDay-1),"&gt;-1"),0),0)</f>
        <v>0</v>
      </c>
      <c r="V190" t="str" cm="1">
        <f t="array" aca="1" ref="V190" ca="1">IF(StatTbl[[#This Row],[Кол-во слотов]]&gt;0, B190&amp;" "&amp;C190&amp;" "&amp;_xlfn.TEXTJOIN(", ",FALSE,TEXT(_xlfn._xlws.FILTER(OFFSET($D$8:$Q$8,0,SearchDay-1,,15-SearchDay),(OFFSET(D190:Q190,0,SearchDay-1,,15-SearchDay)&gt;-1)*(OFFSET(D190:Q190,0,SearchDay-1,,15-SearchDay)&lt;=ValidC)),"ДД/ММ")),"")</f>
        <v/>
      </c>
      <c r="W190" t="str">
        <f t="shared" si="2"/>
        <v>СЦ Вологда 2Монопаллеты</v>
      </c>
      <c r="Y190" s="10"/>
      <c r="Z190" s="10"/>
      <c r="AA190" s="10"/>
      <c r="AB190" s="10"/>
    </row>
    <row r="191" spans="2:28" x14ac:dyDescent="0.45">
      <c r="B191" s="12" t="s">
        <v>51</v>
      </c>
      <c r="C191" s="12" t="s">
        <v>6</v>
      </c>
      <c r="D191" s="35">
        <v>-1</v>
      </c>
      <c r="E191" s="35">
        <v>-1</v>
      </c>
      <c r="F191" s="35">
        <v>-1</v>
      </c>
      <c r="G191" s="35">
        <v>-1</v>
      </c>
      <c r="H191" s="35">
        <v>-1</v>
      </c>
      <c r="I191" s="35">
        <v>-1</v>
      </c>
      <c r="J191" s="35">
        <v>-1</v>
      </c>
      <c r="K191" s="35">
        <v>-1</v>
      </c>
      <c r="L191" s="35">
        <v>-1</v>
      </c>
      <c r="M191" s="35">
        <v>-1</v>
      </c>
      <c r="N191" s="35">
        <v>-1</v>
      </c>
      <c r="O191" s="35">
        <v>-1</v>
      </c>
      <c r="P191" s="35">
        <v>-1</v>
      </c>
      <c r="Q191" s="35">
        <v>-1</v>
      </c>
      <c r="S191" s="5" t="str">
        <f>IF(_xlfn.XLOOKUP(StatTbl[[#This Row],[Join]],TargetSlots[Join],TargetSlots[Join],"Не найдено")&lt;&gt;"Не найдено","Ищем","Не ищем")</f>
        <v>Не ищем</v>
      </c>
      <c r="T191" s="4" t="str">
        <f ca="1">IF(COUNTIFS(OFFSET(D191:$Q191,0,SearchDay-1,,15-SearchDay),"&lt;="&amp; ValidC,OFFSET(D191:$Q191,0,SearchDay-1,,15-SearchDay),"&gt;-1")&gt;0,"Есть слот!","Ничего")</f>
        <v>Ничего</v>
      </c>
      <c r="U191">
        <f ca="1">IF(S191="Ищем",IF(StatTbl[[#This Row],[Доступность]]="Есть слот!",COUNTIFS(OFFSET(D191:$Q191,0,SearchDay-1),"&lt;="&amp; ValidC,OFFSET(D191:$Q191,0,SearchDay-1),"&gt;-1"),0),0)</f>
        <v>0</v>
      </c>
      <c r="V191" t="str" cm="1">
        <f t="array" aca="1" ref="V191" ca="1">IF(StatTbl[[#This Row],[Кол-во слотов]]&gt;0, B191&amp;" "&amp;C191&amp;" "&amp;_xlfn.TEXTJOIN(", ",FALSE,TEXT(_xlfn._xlws.FILTER(OFFSET($D$8:$Q$8,0,SearchDay-1,,15-SearchDay),(OFFSET(D191:Q191,0,SearchDay-1,,15-SearchDay)&gt;-1)*(OFFSET(D191:Q191,0,SearchDay-1,,15-SearchDay)&lt;=ValidC)),"ДД/ММ")),"")</f>
        <v/>
      </c>
      <c r="W191" t="str">
        <f t="shared" si="2"/>
        <v>СЦ Вологда 2Суперсейф</v>
      </c>
      <c r="Y191" s="10"/>
      <c r="Z191" s="10"/>
      <c r="AA191" s="10"/>
      <c r="AB191" s="10"/>
    </row>
    <row r="192" spans="2:28" x14ac:dyDescent="0.45">
      <c r="B192" s="12" t="s">
        <v>51</v>
      </c>
      <c r="C192" s="12" t="s">
        <v>111</v>
      </c>
      <c r="D192" s="35">
        <v>10</v>
      </c>
      <c r="E192" s="35">
        <v>10</v>
      </c>
      <c r="F192" s="35">
        <v>10</v>
      </c>
      <c r="G192" s="35">
        <v>10</v>
      </c>
      <c r="H192" s="35">
        <v>2</v>
      </c>
      <c r="I192" s="35">
        <v>2</v>
      </c>
      <c r="J192" s="35">
        <v>2</v>
      </c>
      <c r="K192" s="35">
        <v>2</v>
      </c>
      <c r="L192" s="35">
        <v>2</v>
      </c>
      <c r="M192" s="35">
        <v>2</v>
      </c>
      <c r="N192" s="35">
        <v>2</v>
      </c>
      <c r="O192" s="35">
        <v>-1</v>
      </c>
      <c r="P192" s="35">
        <v>-1</v>
      </c>
      <c r="Q192" s="35">
        <v>-1</v>
      </c>
      <c r="S192" s="5" t="str">
        <f>IF(_xlfn.XLOOKUP(StatTbl[[#This Row],[Join]],TargetSlots[Join],TargetSlots[Join],"Не найдено")&lt;&gt;"Не найдено","Ищем","Не ищем")</f>
        <v>Не ищем</v>
      </c>
      <c r="T192" s="4" t="str">
        <f ca="1">IF(COUNTIFS(OFFSET(D192:$Q192,0,SearchDay-1,,15-SearchDay),"&lt;="&amp; ValidC,OFFSET(D192:$Q192,0,SearchDay-1,,15-SearchDay),"&gt;-1")&gt;0,"Есть слот!","Ничего")</f>
        <v>Есть слот!</v>
      </c>
      <c r="U192">
        <f ca="1">IF(S192="Ищем",IF(StatTbl[[#This Row],[Доступность]]="Есть слот!",COUNTIFS(OFFSET(D192:$Q192,0,SearchDay-1),"&lt;="&amp; ValidC,OFFSET(D192:$Q192,0,SearchDay-1),"&gt;-1"),0),0)</f>
        <v>0</v>
      </c>
      <c r="V192" t="str" cm="1">
        <f t="array" aca="1" ref="V192" ca="1">IF(StatTbl[[#This Row],[Кол-во слотов]]&gt;0, B192&amp;" "&amp;C192&amp;" "&amp;_xlfn.TEXTJOIN(", ",FALSE,TEXT(_xlfn._xlws.FILTER(OFFSET($D$8:$Q$8,0,SearchDay-1,,15-SearchDay),(OFFSET(D192:Q192,0,SearchDay-1,,15-SearchDay)&gt;-1)*(OFFSET(D192:Q192,0,SearchDay-1,,15-SearchDay)&lt;=ValidC)),"ДД/ММ")),"")</f>
        <v/>
      </c>
      <c r="W192" t="str">
        <f t="shared" si="2"/>
        <v>СЦ Вологда 2QR-поставка</v>
      </c>
      <c r="Y192" s="10"/>
      <c r="Z192" s="10"/>
      <c r="AA192" s="10"/>
      <c r="AB192" s="10"/>
    </row>
    <row r="193" spans="2:28" x14ac:dyDescent="0.45">
      <c r="B193" s="12" t="s">
        <v>52</v>
      </c>
      <c r="C193" s="12" t="s">
        <v>109</v>
      </c>
      <c r="D193" s="35">
        <v>-1</v>
      </c>
      <c r="E193" s="35">
        <v>-1</v>
      </c>
      <c r="F193" s="35">
        <v>-1</v>
      </c>
      <c r="G193" s="35">
        <v>-1</v>
      </c>
      <c r="H193" s="35">
        <v>-1</v>
      </c>
      <c r="I193" s="35">
        <v>-1</v>
      </c>
      <c r="J193" s="35">
        <v>-1</v>
      </c>
      <c r="K193" s="35">
        <v>-1</v>
      </c>
      <c r="L193" s="35">
        <v>-1</v>
      </c>
      <c r="M193" s="35">
        <v>-1</v>
      </c>
      <c r="N193" s="35">
        <v>-1</v>
      </c>
      <c r="O193" s="35">
        <v>-1</v>
      </c>
      <c r="P193" s="35">
        <v>-1</v>
      </c>
      <c r="Q193" s="35">
        <v>-1</v>
      </c>
      <c r="S193" s="5" t="str">
        <f>IF(_xlfn.XLOOKUP(StatTbl[[#This Row],[Join]],TargetSlots[Join],TargetSlots[Join],"Не найдено")&lt;&gt;"Не найдено","Ищем","Не ищем")</f>
        <v>Не ищем</v>
      </c>
      <c r="T193" s="4" t="str">
        <f ca="1">IF(COUNTIFS(OFFSET(D193:$Q193,0,SearchDay-1,,15-SearchDay),"&lt;="&amp; ValidC,OFFSET(D193:$Q193,0,SearchDay-1,,15-SearchDay),"&gt;-1")&gt;0,"Есть слот!","Ничего")</f>
        <v>Ничего</v>
      </c>
      <c r="U193">
        <f ca="1">IF(S193="Ищем",IF(StatTbl[[#This Row],[Доступность]]="Есть слот!",COUNTIFS(OFFSET(D193:$Q193,0,SearchDay-1),"&lt;="&amp; ValidC,OFFSET(D193:$Q193,0,SearchDay-1),"&gt;-1"),0),0)</f>
        <v>0</v>
      </c>
      <c r="V193" t="str" cm="1">
        <f t="array" aca="1" ref="V193" ca="1">IF(StatTbl[[#This Row],[Кол-во слотов]]&gt;0, B193&amp;" "&amp;C193&amp;" "&amp;_xlfn.TEXTJOIN(", ",FALSE,TEXT(_xlfn._xlws.FILTER(OFFSET($D$8:$Q$8,0,SearchDay-1,,15-SearchDay),(OFFSET(D193:Q193,0,SearchDay-1,,15-SearchDay)&gt;-1)*(OFFSET(D193:Q193,0,SearchDay-1,,15-SearchDay)&lt;=ValidC)),"ДД/ММ")),"")</f>
        <v/>
      </c>
      <c r="W193" t="str">
        <f t="shared" si="2"/>
        <v>СЦ ВоронежКороба</v>
      </c>
      <c r="Y193" s="10"/>
      <c r="Z193" s="10"/>
      <c r="AA193" s="10"/>
      <c r="AB193" s="10"/>
    </row>
    <row r="194" spans="2:28" x14ac:dyDescent="0.45">
      <c r="B194" s="12" t="s">
        <v>52</v>
      </c>
      <c r="C194" s="12" t="s">
        <v>110</v>
      </c>
      <c r="D194" s="35">
        <v>-1</v>
      </c>
      <c r="E194" s="35">
        <v>-1</v>
      </c>
      <c r="F194" s="35">
        <v>-1</v>
      </c>
      <c r="G194" s="35">
        <v>-1</v>
      </c>
      <c r="H194" s="35">
        <v>-1</v>
      </c>
      <c r="I194" s="35">
        <v>-1</v>
      </c>
      <c r="J194" s="35">
        <v>-1</v>
      </c>
      <c r="K194" s="35">
        <v>-1</v>
      </c>
      <c r="L194" s="35">
        <v>-1</v>
      </c>
      <c r="M194" s="35">
        <v>-1</v>
      </c>
      <c r="N194" s="35">
        <v>-1</v>
      </c>
      <c r="O194" s="35">
        <v>-1</v>
      </c>
      <c r="P194" s="35">
        <v>-1</v>
      </c>
      <c r="Q194" s="35">
        <v>-1</v>
      </c>
      <c r="S194" s="5" t="str">
        <f>IF(_xlfn.XLOOKUP(StatTbl[[#This Row],[Join]],TargetSlots[Join],TargetSlots[Join],"Не найдено")&lt;&gt;"Не найдено","Ищем","Не ищем")</f>
        <v>Не ищем</v>
      </c>
      <c r="T194" s="4" t="str">
        <f ca="1">IF(COUNTIFS(OFFSET(D194:$Q194,0,SearchDay-1,,15-SearchDay),"&lt;="&amp; ValidC,OFFSET(D194:$Q194,0,SearchDay-1,,15-SearchDay),"&gt;-1")&gt;0,"Есть слот!","Ничего")</f>
        <v>Ничего</v>
      </c>
      <c r="U194">
        <f ca="1">IF(S194="Ищем",IF(StatTbl[[#This Row],[Доступность]]="Есть слот!",COUNTIFS(OFFSET(D194:$Q194,0,SearchDay-1),"&lt;="&amp; ValidC,OFFSET(D194:$Q194,0,SearchDay-1),"&gt;-1"),0),0)</f>
        <v>0</v>
      </c>
      <c r="V194" t="str" cm="1">
        <f t="array" aca="1" ref="V194" ca="1">IF(StatTbl[[#This Row],[Кол-во слотов]]&gt;0, B194&amp;" "&amp;C194&amp;" "&amp;_xlfn.TEXTJOIN(", ",FALSE,TEXT(_xlfn._xlws.FILTER(OFFSET($D$8:$Q$8,0,SearchDay-1,,15-SearchDay),(OFFSET(D194:Q194,0,SearchDay-1,,15-SearchDay)&gt;-1)*(OFFSET(D194:Q194,0,SearchDay-1,,15-SearchDay)&lt;=ValidC)),"ДД/ММ")),"")</f>
        <v/>
      </c>
      <c r="W194" t="str">
        <f t="shared" si="2"/>
        <v>СЦ ВоронежМонопаллеты</v>
      </c>
      <c r="Y194" s="10"/>
      <c r="Z194" s="10"/>
      <c r="AA194" s="10"/>
      <c r="AB194" s="10"/>
    </row>
    <row r="195" spans="2:28" x14ac:dyDescent="0.45">
      <c r="B195" s="12" t="s">
        <v>52</v>
      </c>
      <c r="C195" s="12" t="s">
        <v>6</v>
      </c>
      <c r="D195" s="35">
        <v>-1</v>
      </c>
      <c r="E195" s="35">
        <v>-1</v>
      </c>
      <c r="F195" s="35">
        <v>-1</v>
      </c>
      <c r="G195" s="35">
        <v>-1</v>
      </c>
      <c r="H195" s="35">
        <v>-1</v>
      </c>
      <c r="I195" s="35">
        <v>-1</v>
      </c>
      <c r="J195" s="35">
        <v>-1</v>
      </c>
      <c r="K195" s="35">
        <v>-1</v>
      </c>
      <c r="L195" s="35">
        <v>-1</v>
      </c>
      <c r="M195" s="35">
        <v>-1</v>
      </c>
      <c r="N195" s="35">
        <v>-1</v>
      </c>
      <c r="O195" s="35">
        <v>-1</v>
      </c>
      <c r="P195" s="35">
        <v>-1</v>
      </c>
      <c r="Q195" s="35">
        <v>-1</v>
      </c>
      <c r="S195" s="5" t="str">
        <f>IF(_xlfn.XLOOKUP(StatTbl[[#This Row],[Join]],TargetSlots[Join],TargetSlots[Join],"Не найдено")&lt;&gt;"Не найдено","Ищем","Не ищем")</f>
        <v>Не ищем</v>
      </c>
      <c r="T195" s="4" t="str">
        <f ca="1">IF(COUNTIFS(OFFSET(D195:$Q195,0,SearchDay-1,,15-SearchDay),"&lt;="&amp; ValidC,OFFSET(D195:$Q195,0,SearchDay-1,,15-SearchDay),"&gt;-1")&gt;0,"Есть слот!","Ничего")</f>
        <v>Ничего</v>
      </c>
      <c r="U195">
        <f ca="1">IF(S195="Ищем",IF(StatTbl[[#This Row],[Доступность]]="Есть слот!",COUNTIFS(OFFSET(D195:$Q195,0,SearchDay-1),"&lt;="&amp; ValidC,OFFSET(D195:$Q195,0,SearchDay-1),"&gt;-1"),0),0)</f>
        <v>0</v>
      </c>
      <c r="V195" t="str" cm="1">
        <f t="array" aca="1" ref="V195" ca="1">IF(StatTbl[[#This Row],[Кол-во слотов]]&gt;0, B195&amp;" "&amp;C195&amp;" "&amp;_xlfn.TEXTJOIN(", ",FALSE,TEXT(_xlfn._xlws.FILTER(OFFSET($D$8:$Q$8,0,SearchDay-1,,15-SearchDay),(OFFSET(D195:Q195,0,SearchDay-1,,15-SearchDay)&gt;-1)*(OFFSET(D195:Q195,0,SearchDay-1,,15-SearchDay)&lt;=ValidC)),"ДД/ММ")),"")</f>
        <v/>
      </c>
      <c r="W195" t="str">
        <f t="shared" si="2"/>
        <v>СЦ ВоронежСуперсейф</v>
      </c>
      <c r="Y195" s="10"/>
      <c r="Z195" s="10"/>
      <c r="AA195" s="10"/>
      <c r="AB195" s="10"/>
    </row>
    <row r="196" spans="2:28" x14ac:dyDescent="0.45">
      <c r="B196" s="12" t="s">
        <v>52</v>
      </c>
      <c r="C196" s="12" t="s">
        <v>111</v>
      </c>
      <c r="D196" s="35">
        <v>-1</v>
      </c>
      <c r="E196" s="35">
        <v>-1</v>
      </c>
      <c r="F196" s="35">
        <v>-1</v>
      </c>
      <c r="G196" s="35">
        <v>-1</v>
      </c>
      <c r="H196" s="35">
        <v>-1</v>
      </c>
      <c r="I196" s="35">
        <v>-1</v>
      </c>
      <c r="J196" s="35">
        <v>-1</v>
      </c>
      <c r="K196" s="35">
        <v>-1</v>
      </c>
      <c r="L196" s="35">
        <v>-1</v>
      </c>
      <c r="M196" s="35">
        <v>-1</v>
      </c>
      <c r="N196" s="35">
        <v>-1</v>
      </c>
      <c r="O196" s="35">
        <v>-1</v>
      </c>
      <c r="P196" s="35">
        <v>-1</v>
      </c>
      <c r="Q196" s="35">
        <v>-1</v>
      </c>
      <c r="S196" s="5" t="str">
        <f>IF(_xlfn.XLOOKUP(StatTbl[[#This Row],[Join]],TargetSlots[Join],TargetSlots[Join],"Не найдено")&lt;&gt;"Не найдено","Ищем","Не ищем")</f>
        <v>Не ищем</v>
      </c>
      <c r="T196" s="4" t="str">
        <f ca="1">IF(COUNTIFS(OFFSET(D196:$Q196,0,SearchDay-1,,15-SearchDay),"&lt;="&amp; ValidC,OFFSET(D196:$Q196,0,SearchDay-1,,15-SearchDay),"&gt;-1")&gt;0,"Есть слот!","Ничего")</f>
        <v>Ничего</v>
      </c>
      <c r="U196">
        <f ca="1">IF(S196="Ищем",IF(StatTbl[[#This Row],[Доступность]]="Есть слот!",COUNTIFS(OFFSET(D196:$Q196,0,SearchDay-1),"&lt;="&amp; ValidC,OFFSET(D196:$Q196,0,SearchDay-1),"&gt;-1"),0),0)</f>
        <v>0</v>
      </c>
      <c r="V196" t="str" cm="1">
        <f t="array" aca="1" ref="V196" ca="1">IF(StatTbl[[#This Row],[Кол-во слотов]]&gt;0, B196&amp;" "&amp;C196&amp;" "&amp;_xlfn.TEXTJOIN(", ",FALSE,TEXT(_xlfn._xlws.FILTER(OFFSET($D$8:$Q$8,0,SearchDay-1,,15-SearchDay),(OFFSET(D196:Q196,0,SearchDay-1,,15-SearchDay)&gt;-1)*(OFFSET(D196:Q196,0,SearchDay-1,,15-SearchDay)&lt;=ValidC)),"ДД/ММ")),"")</f>
        <v/>
      </c>
      <c r="W196" t="str">
        <f t="shared" si="2"/>
        <v>СЦ ВоронежQR-поставка</v>
      </c>
      <c r="Y196" s="10"/>
      <c r="Z196" s="10"/>
      <c r="AA196" s="10"/>
      <c r="AB196" s="10"/>
    </row>
    <row r="197" spans="2:28" x14ac:dyDescent="0.45">
      <c r="B197" s="12" t="s">
        <v>53</v>
      </c>
      <c r="C197" s="12" t="s">
        <v>109</v>
      </c>
      <c r="D197" s="35">
        <v>-1</v>
      </c>
      <c r="E197" s="35">
        <v>-1</v>
      </c>
      <c r="F197" s="35">
        <v>-1</v>
      </c>
      <c r="G197" s="35">
        <v>-1</v>
      </c>
      <c r="H197" s="35">
        <v>-1</v>
      </c>
      <c r="I197" s="35">
        <v>-1</v>
      </c>
      <c r="J197" s="35">
        <v>-1</v>
      </c>
      <c r="K197" s="35">
        <v>-1</v>
      </c>
      <c r="L197" s="35">
        <v>-1</v>
      </c>
      <c r="M197" s="35">
        <v>-1</v>
      </c>
      <c r="N197" s="35">
        <v>-1</v>
      </c>
      <c r="O197" s="35">
        <v>-1</v>
      </c>
      <c r="P197" s="35">
        <v>-1</v>
      </c>
      <c r="Q197" s="35">
        <v>-1</v>
      </c>
      <c r="S197" s="5" t="str">
        <f>IF(_xlfn.XLOOKUP(StatTbl[[#This Row],[Join]],TargetSlots[Join],TargetSlots[Join],"Не найдено")&lt;&gt;"Не найдено","Ищем","Не ищем")</f>
        <v>Не ищем</v>
      </c>
      <c r="T197" s="4" t="str">
        <f ca="1">IF(COUNTIFS(OFFSET(D197:$Q197,0,SearchDay-1,,15-SearchDay),"&lt;="&amp; ValidC,OFFSET(D197:$Q197,0,SearchDay-1,,15-SearchDay),"&gt;-1")&gt;0,"Есть слот!","Ничего")</f>
        <v>Ничего</v>
      </c>
      <c r="U197">
        <f ca="1">IF(S197="Ищем",IF(StatTbl[[#This Row],[Доступность]]="Есть слот!",COUNTIFS(OFFSET(D197:$Q197,0,SearchDay-1),"&lt;="&amp; ValidC,OFFSET(D197:$Q197,0,SearchDay-1),"&gt;-1"),0),0)</f>
        <v>0</v>
      </c>
      <c r="V197" t="str" cm="1">
        <f t="array" aca="1" ref="V197" ca="1">IF(StatTbl[[#This Row],[Кол-во слотов]]&gt;0, B197&amp;" "&amp;C197&amp;" "&amp;_xlfn.TEXTJOIN(", ",FALSE,TEXT(_xlfn._xlws.FILTER(OFFSET($D$8:$Q$8,0,SearchDay-1,,15-SearchDay),(OFFSET(D197:Q197,0,SearchDay-1,,15-SearchDay)&gt;-1)*(OFFSET(D197:Q197,0,SearchDay-1,,15-SearchDay)&lt;=ValidC)),"ДД/ММ")),"")</f>
        <v/>
      </c>
      <c r="W197" t="str">
        <f t="shared" si="2"/>
        <v>СЦ ИвановоКороба</v>
      </c>
      <c r="Y197" s="10"/>
      <c r="Z197" s="10"/>
      <c r="AA197" s="10"/>
      <c r="AB197" s="10"/>
    </row>
    <row r="198" spans="2:28" x14ac:dyDescent="0.45">
      <c r="B198" s="12" t="s">
        <v>53</v>
      </c>
      <c r="C198" s="12" t="s">
        <v>110</v>
      </c>
      <c r="D198" s="35">
        <v>-1</v>
      </c>
      <c r="E198" s="35">
        <v>-1</v>
      </c>
      <c r="F198" s="35">
        <v>-1</v>
      </c>
      <c r="G198" s="35">
        <v>-1</v>
      </c>
      <c r="H198" s="35">
        <v>-1</v>
      </c>
      <c r="I198" s="35">
        <v>-1</v>
      </c>
      <c r="J198" s="35">
        <v>-1</v>
      </c>
      <c r="K198" s="35">
        <v>-1</v>
      </c>
      <c r="L198" s="35">
        <v>-1</v>
      </c>
      <c r="M198" s="35">
        <v>-1</v>
      </c>
      <c r="N198" s="35">
        <v>-1</v>
      </c>
      <c r="O198" s="35">
        <v>-1</v>
      </c>
      <c r="P198" s="35">
        <v>-1</v>
      </c>
      <c r="Q198" s="35">
        <v>-1</v>
      </c>
      <c r="S198" s="5" t="str">
        <f>IF(_xlfn.XLOOKUP(StatTbl[[#This Row],[Join]],TargetSlots[Join],TargetSlots[Join],"Не найдено")&lt;&gt;"Не найдено","Ищем","Не ищем")</f>
        <v>Не ищем</v>
      </c>
      <c r="T198" s="4" t="str">
        <f ca="1">IF(COUNTIFS(OFFSET(D198:$Q198,0,SearchDay-1,,15-SearchDay),"&lt;="&amp; ValidC,OFFSET(D198:$Q198,0,SearchDay-1,,15-SearchDay),"&gt;-1")&gt;0,"Есть слот!","Ничего")</f>
        <v>Ничего</v>
      </c>
      <c r="U198">
        <f ca="1">IF(S198="Ищем",IF(StatTbl[[#This Row],[Доступность]]="Есть слот!",COUNTIFS(OFFSET(D198:$Q198,0,SearchDay-1),"&lt;="&amp; ValidC,OFFSET(D198:$Q198,0,SearchDay-1),"&gt;-1"),0),0)</f>
        <v>0</v>
      </c>
      <c r="V198" t="str" cm="1">
        <f t="array" aca="1" ref="V198" ca="1">IF(StatTbl[[#This Row],[Кол-во слотов]]&gt;0, B198&amp;" "&amp;C198&amp;" "&amp;_xlfn.TEXTJOIN(", ",FALSE,TEXT(_xlfn._xlws.FILTER(OFFSET($D$8:$Q$8,0,SearchDay-1,,15-SearchDay),(OFFSET(D198:Q198,0,SearchDay-1,,15-SearchDay)&gt;-1)*(OFFSET(D198:Q198,0,SearchDay-1,,15-SearchDay)&lt;=ValidC)),"ДД/ММ")),"")</f>
        <v/>
      </c>
      <c r="W198" t="str">
        <f t="shared" si="2"/>
        <v>СЦ ИвановоМонопаллеты</v>
      </c>
      <c r="Y198" s="10"/>
      <c r="Z198" s="10"/>
      <c r="AA198" s="10"/>
      <c r="AB198" s="10"/>
    </row>
    <row r="199" spans="2:28" x14ac:dyDescent="0.45">
      <c r="B199" s="12" t="s">
        <v>53</v>
      </c>
      <c r="C199" s="12" t="s">
        <v>6</v>
      </c>
      <c r="D199" s="35">
        <v>-1</v>
      </c>
      <c r="E199" s="35">
        <v>-1</v>
      </c>
      <c r="F199" s="35">
        <v>-1</v>
      </c>
      <c r="G199" s="35">
        <v>-1</v>
      </c>
      <c r="H199" s="35">
        <v>-1</v>
      </c>
      <c r="I199" s="35">
        <v>-1</v>
      </c>
      <c r="J199" s="35">
        <v>-1</v>
      </c>
      <c r="K199" s="35">
        <v>-1</v>
      </c>
      <c r="L199" s="35">
        <v>-1</v>
      </c>
      <c r="M199" s="35">
        <v>-1</v>
      </c>
      <c r="N199" s="35">
        <v>-1</v>
      </c>
      <c r="O199" s="35">
        <v>-1</v>
      </c>
      <c r="P199" s="35">
        <v>-1</v>
      </c>
      <c r="Q199" s="35">
        <v>-1</v>
      </c>
      <c r="S199" s="5" t="str">
        <f>IF(_xlfn.XLOOKUP(StatTbl[[#This Row],[Join]],TargetSlots[Join],TargetSlots[Join],"Не найдено")&lt;&gt;"Не найдено","Ищем","Не ищем")</f>
        <v>Не ищем</v>
      </c>
      <c r="T199" s="4" t="str">
        <f ca="1">IF(COUNTIFS(OFFSET(D199:$Q199,0,SearchDay-1,,15-SearchDay),"&lt;="&amp; ValidC,OFFSET(D199:$Q199,0,SearchDay-1,,15-SearchDay),"&gt;-1")&gt;0,"Есть слот!","Ничего")</f>
        <v>Ничего</v>
      </c>
      <c r="U199">
        <f ca="1">IF(S199="Ищем",IF(StatTbl[[#This Row],[Доступность]]="Есть слот!",COUNTIFS(OFFSET(D199:$Q199,0,SearchDay-1),"&lt;="&amp; ValidC,OFFSET(D199:$Q199,0,SearchDay-1),"&gt;-1"),0),0)</f>
        <v>0</v>
      </c>
      <c r="V199" t="str" cm="1">
        <f t="array" aca="1" ref="V199" ca="1">IF(StatTbl[[#This Row],[Кол-во слотов]]&gt;0, B199&amp;" "&amp;C199&amp;" "&amp;_xlfn.TEXTJOIN(", ",FALSE,TEXT(_xlfn._xlws.FILTER(OFFSET($D$8:$Q$8,0,SearchDay-1,,15-SearchDay),(OFFSET(D199:Q199,0,SearchDay-1,,15-SearchDay)&gt;-1)*(OFFSET(D199:Q199,0,SearchDay-1,,15-SearchDay)&lt;=ValidC)),"ДД/ММ")),"")</f>
        <v/>
      </c>
      <c r="W199" t="str">
        <f t="shared" si="2"/>
        <v>СЦ ИвановоСуперсейф</v>
      </c>
      <c r="Y199" s="10"/>
      <c r="Z199" s="10"/>
      <c r="AA199" s="10"/>
      <c r="AB199" s="10"/>
    </row>
    <row r="200" spans="2:28" x14ac:dyDescent="0.45">
      <c r="B200" s="12" t="s">
        <v>53</v>
      </c>
      <c r="C200" s="12" t="s">
        <v>111</v>
      </c>
      <c r="D200" s="35">
        <v>-1</v>
      </c>
      <c r="E200" s="35">
        <v>-1</v>
      </c>
      <c r="F200" s="35">
        <v>-1</v>
      </c>
      <c r="G200" s="35">
        <v>-1</v>
      </c>
      <c r="H200" s="35">
        <v>-1</v>
      </c>
      <c r="I200" s="35">
        <v>-1</v>
      </c>
      <c r="J200" s="35">
        <v>-1</v>
      </c>
      <c r="K200" s="35">
        <v>-1</v>
      </c>
      <c r="L200" s="35">
        <v>-1</v>
      </c>
      <c r="M200" s="35">
        <v>-1</v>
      </c>
      <c r="N200" s="35">
        <v>-1</v>
      </c>
      <c r="O200" s="35">
        <v>-1</v>
      </c>
      <c r="P200" s="35">
        <v>-1</v>
      </c>
      <c r="Q200" s="35">
        <v>-1</v>
      </c>
      <c r="S200" s="5" t="str">
        <f>IF(_xlfn.XLOOKUP(StatTbl[[#This Row],[Join]],TargetSlots[Join],TargetSlots[Join],"Не найдено")&lt;&gt;"Не найдено","Ищем","Не ищем")</f>
        <v>Не ищем</v>
      </c>
      <c r="T200" s="4" t="str">
        <f ca="1">IF(COUNTIFS(OFFSET(D200:$Q200,0,SearchDay-1,,15-SearchDay),"&lt;="&amp; ValidC,OFFSET(D200:$Q200,0,SearchDay-1,,15-SearchDay),"&gt;-1")&gt;0,"Есть слот!","Ничего")</f>
        <v>Ничего</v>
      </c>
      <c r="U200">
        <f ca="1">IF(S200="Ищем",IF(StatTbl[[#This Row],[Доступность]]="Есть слот!",COUNTIFS(OFFSET(D200:$Q200,0,SearchDay-1),"&lt;="&amp; ValidC,OFFSET(D200:$Q200,0,SearchDay-1),"&gt;-1"),0),0)</f>
        <v>0</v>
      </c>
      <c r="V200" t="str" cm="1">
        <f t="array" aca="1" ref="V200" ca="1">IF(StatTbl[[#This Row],[Кол-во слотов]]&gt;0, B200&amp;" "&amp;C200&amp;" "&amp;_xlfn.TEXTJOIN(", ",FALSE,TEXT(_xlfn._xlws.FILTER(OFFSET($D$8:$Q$8,0,SearchDay-1,,15-SearchDay),(OFFSET(D200:Q200,0,SearchDay-1,,15-SearchDay)&gt;-1)*(OFFSET(D200:Q200,0,SearchDay-1,,15-SearchDay)&lt;=ValidC)),"ДД/ММ")),"")</f>
        <v/>
      </c>
      <c r="W200" t="str">
        <f t="shared" si="2"/>
        <v>СЦ ИвановоQR-поставка</v>
      </c>
      <c r="Y200" s="10"/>
      <c r="Z200" s="10"/>
      <c r="AA200" s="10"/>
      <c r="AB200" s="10"/>
    </row>
    <row r="201" spans="2:28" x14ac:dyDescent="0.45">
      <c r="B201" s="12" t="s">
        <v>54</v>
      </c>
      <c r="C201" s="12" t="s">
        <v>109</v>
      </c>
      <c r="D201" s="35">
        <v>20</v>
      </c>
      <c r="E201" s="35">
        <v>20</v>
      </c>
      <c r="F201" s="35">
        <v>20</v>
      </c>
      <c r="G201" s="35">
        <v>20</v>
      </c>
      <c r="H201" s="35">
        <v>20</v>
      </c>
      <c r="I201" s="35">
        <v>20</v>
      </c>
      <c r="J201" s="35">
        <v>20</v>
      </c>
      <c r="K201" s="35">
        <v>20</v>
      </c>
      <c r="L201" s="35">
        <v>20</v>
      </c>
      <c r="M201" s="35">
        <v>20</v>
      </c>
      <c r="N201" s="35">
        <v>20</v>
      </c>
      <c r="O201" s="35">
        <v>20</v>
      </c>
      <c r="P201" s="35">
        <v>20</v>
      </c>
      <c r="Q201" s="35">
        <v>-1</v>
      </c>
      <c r="S201" s="5" t="str">
        <f>IF(_xlfn.XLOOKUP(StatTbl[[#This Row],[Join]],TargetSlots[Join],TargetSlots[Join],"Не найдено")&lt;&gt;"Не найдено","Ищем","Не ищем")</f>
        <v>Не ищем</v>
      </c>
      <c r="T201" s="4" t="str">
        <f ca="1">IF(COUNTIFS(OFFSET(D201:$Q201,0,SearchDay-1,,15-SearchDay),"&lt;="&amp; ValidC,OFFSET(D201:$Q201,0,SearchDay-1,,15-SearchDay),"&gt;-1")&gt;0,"Есть слот!","Ничего")</f>
        <v>Ничего</v>
      </c>
      <c r="U201">
        <f ca="1">IF(S201="Ищем",IF(StatTbl[[#This Row],[Доступность]]="Есть слот!",COUNTIFS(OFFSET(D201:$Q201,0,SearchDay-1),"&lt;="&amp; ValidC,OFFSET(D201:$Q201,0,SearchDay-1),"&gt;-1"),0),0)</f>
        <v>0</v>
      </c>
      <c r="V201" t="str" cm="1">
        <f t="array" aca="1" ref="V201" ca="1">IF(StatTbl[[#This Row],[Кол-во слотов]]&gt;0, B201&amp;" "&amp;C201&amp;" "&amp;_xlfn.TEXTJOIN(", ",FALSE,TEXT(_xlfn._xlws.FILTER(OFFSET($D$8:$Q$8,0,SearchDay-1,,15-SearchDay),(OFFSET(D201:Q201,0,SearchDay-1,,15-SearchDay)&gt;-1)*(OFFSET(D201:Q201,0,SearchDay-1,,15-SearchDay)&lt;=ValidC)),"ДД/ММ")),"")</f>
        <v/>
      </c>
      <c r="W201" t="str">
        <f t="shared" ref="W201:W264" si="3">B201&amp;C201</f>
        <v>СЦ ИжевскКороба</v>
      </c>
      <c r="Y201" s="10"/>
      <c r="Z201" s="10"/>
      <c r="AA201" s="10"/>
      <c r="AB201" s="10"/>
    </row>
    <row r="202" spans="2:28" x14ac:dyDescent="0.45">
      <c r="B202" s="12" t="s">
        <v>54</v>
      </c>
      <c r="C202" s="12" t="s">
        <v>110</v>
      </c>
      <c r="D202" s="35">
        <v>5</v>
      </c>
      <c r="E202" s="35">
        <v>5</v>
      </c>
      <c r="F202" s="35">
        <v>20</v>
      </c>
      <c r="G202" s="35">
        <v>20</v>
      </c>
      <c r="H202" s="35">
        <v>20</v>
      </c>
      <c r="I202" s="35">
        <v>20</v>
      </c>
      <c r="J202" s="35">
        <v>20</v>
      </c>
      <c r="K202" s="35">
        <v>20</v>
      </c>
      <c r="L202" s="35">
        <v>20</v>
      </c>
      <c r="M202" s="35">
        <v>20</v>
      </c>
      <c r="N202" s="35">
        <v>20</v>
      </c>
      <c r="O202" s="35">
        <v>-1</v>
      </c>
      <c r="P202" s="35">
        <v>-1</v>
      </c>
      <c r="Q202" s="35">
        <v>-1</v>
      </c>
      <c r="S202" s="5" t="str">
        <f>IF(_xlfn.XLOOKUP(StatTbl[[#This Row],[Join]],TargetSlots[Join],TargetSlots[Join],"Не найдено")&lt;&gt;"Не найдено","Ищем","Не ищем")</f>
        <v>Не ищем</v>
      </c>
      <c r="T202" s="4" t="str">
        <f ca="1">IF(COUNTIFS(OFFSET(D202:$Q202,0,SearchDay-1,,15-SearchDay),"&lt;="&amp; ValidC,OFFSET(D202:$Q202,0,SearchDay-1,,15-SearchDay),"&gt;-1")&gt;0,"Есть слот!","Ничего")</f>
        <v>Ничего</v>
      </c>
      <c r="U202">
        <f ca="1">IF(S202="Ищем",IF(StatTbl[[#This Row],[Доступность]]="Есть слот!",COUNTIFS(OFFSET(D202:$Q202,0,SearchDay-1),"&lt;="&amp; ValidC,OFFSET(D202:$Q202,0,SearchDay-1),"&gt;-1"),0),0)</f>
        <v>0</v>
      </c>
      <c r="V202" t="str" cm="1">
        <f t="array" aca="1" ref="V202" ca="1">IF(StatTbl[[#This Row],[Кол-во слотов]]&gt;0, B202&amp;" "&amp;C202&amp;" "&amp;_xlfn.TEXTJOIN(", ",FALSE,TEXT(_xlfn._xlws.FILTER(OFFSET($D$8:$Q$8,0,SearchDay-1,,15-SearchDay),(OFFSET(D202:Q202,0,SearchDay-1,,15-SearchDay)&gt;-1)*(OFFSET(D202:Q202,0,SearchDay-1,,15-SearchDay)&lt;=ValidC)),"ДД/ММ")),"")</f>
        <v/>
      </c>
      <c r="W202" t="str">
        <f t="shared" si="3"/>
        <v>СЦ ИжевскМонопаллеты</v>
      </c>
      <c r="Y202" s="10"/>
      <c r="Z202" s="10"/>
      <c r="AA202" s="10"/>
      <c r="AB202" s="10"/>
    </row>
    <row r="203" spans="2:28" x14ac:dyDescent="0.45">
      <c r="B203" s="12" t="s">
        <v>54</v>
      </c>
      <c r="C203" s="12" t="s">
        <v>6</v>
      </c>
      <c r="D203" s="35">
        <v>-1</v>
      </c>
      <c r="E203" s="35">
        <v>-1</v>
      </c>
      <c r="F203" s="35">
        <v>-1</v>
      </c>
      <c r="G203" s="35">
        <v>-1</v>
      </c>
      <c r="H203" s="35">
        <v>-1</v>
      </c>
      <c r="I203" s="35">
        <v>-1</v>
      </c>
      <c r="J203" s="35">
        <v>-1</v>
      </c>
      <c r="K203" s="35">
        <v>-1</v>
      </c>
      <c r="L203" s="35">
        <v>-1</v>
      </c>
      <c r="M203" s="35">
        <v>-1</v>
      </c>
      <c r="N203" s="35">
        <v>-1</v>
      </c>
      <c r="O203" s="35">
        <v>-1</v>
      </c>
      <c r="P203" s="35">
        <v>-1</v>
      </c>
      <c r="Q203" s="35">
        <v>-1</v>
      </c>
      <c r="S203" s="5" t="str">
        <f>IF(_xlfn.XLOOKUP(StatTbl[[#This Row],[Join]],TargetSlots[Join],TargetSlots[Join],"Не найдено")&lt;&gt;"Не найдено","Ищем","Не ищем")</f>
        <v>Не ищем</v>
      </c>
      <c r="T203" s="4" t="str">
        <f ca="1">IF(COUNTIFS(OFFSET(D203:$Q203,0,SearchDay-1,,15-SearchDay),"&lt;="&amp; ValidC,OFFSET(D203:$Q203,0,SearchDay-1,,15-SearchDay),"&gt;-1")&gt;0,"Есть слот!","Ничего")</f>
        <v>Ничего</v>
      </c>
      <c r="U203">
        <f ca="1">IF(S203="Ищем",IF(StatTbl[[#This Row],[Доступность]]="Есть слот!",COUNTIFS(OFFSET(D203:$Q203,0,SearchDay-1),"&lt;="&amp; ValidC,OFFSET(D203:$Q203,0,SearchDay-1),"&gt;-1"),0),0)</f>
        <v>0</v>
      </c>
      <c r="V203" t="str" cm="1">
        <f t="array" aca="1" ref="V203" ca="1">IF(StatTbl[[#This Row],[Кол-во слотов]]&gt;0, B203&amp;" "&amp;C203&amp;" "&amp;_xlfn.TEXTJOIN(", ",FALSE,TEXT(_xlfn._xlws.FILTER(OFFSET($D$8:$Q$8,0,SearchDay-1,,15-SearchDay),(OFFSET(D203:Q203,0,SearchDay-1,,15-SearchDay)&gt;-1)*(OFFSET(D203:Q203,0,SearchDay-1,,15-SearchDay)&lt;=ValidC)),"ДД/ММ")),"")</f>
        <v/>
      </c>
      <c r="W203" t="str">
        <f t="shared" si="3"/>
        <v>СЦ ИжевскСуперсейф</v>
      </c>
      <c r="Y203" s="10"/>
      <c r="Z203" s="10"/>
      <c r="AA203" s="10"/>
      <c r="AB203" s="10"/>
    </row>
    <row r="204" spans="2:28" x14ac:dyDescent="0.45">
      <c r="B204" s="12" t="s">
        <v>54</v>
      </c>
      <c r="C204" s="12" t="s">
        <v>111</v>
      </c>
      <c r="D204" s="35">
        <v>20</v>
      </c>
      <c r="E204" s="35">
        <v>20</v>
      </c>
      <c r="F204" s="35">
        <v>20</v>
      </c>
      <c r="G204" s="35">
        <v>20</v>
      </c>
      <c r="H204" s="35">
        <v>20</v>
      </c>
      <c r="I204" s="35">
        <v>20</v>
      </c>
      <c r="J204" s="35">
        <v>20</v>
      </c>
      <c r="K204" s="35">
        <v>20</v>
      </c>
      <c r="L204" s="35">
        <v>20</v>
      </c>
      <c r="M204" s="35">
        <v>20</v>
      </c>
      <c r="N204" s="35">
        <v>20</v>
      </c>
      <c r="O204" s="35">
        <v>-1</v>
      </c>
      <c r="P204" s="35">
        <v>-1</v>
      </c>
      <c r="Q204" s="35">
        <v>-1</v>
      </c>
      <c r="S204" s="5" t="str">
        <f>IF(_xlfn.XLOOKUP(StatTbl[[#This Row],[Join]],TargetSlots[Join],TargetSlots[Join],"Не найдено")&lt;&gt;"Не найдено","Ищем","Не ищем")</f>
        <v>Не ищем</v>
      </c>
      <c r="T204" s="4" t="str">
        <f ca="1">IF(COUNTIFS(OFFSET(D204:$Q204,0,SearchDay-1,,15-SearchDay),"&lt;="&amp; ValidC,OFFSET(D204:$Q204,0,SearchDay-1,,15-SearchDay),"&gt;-1")&gt;0,"Есть слот!","Ничего")</f>
        <v>Ничего</v>
      </c>
      <c r="U204">
        <f ca="1">IF(S204="Ищем",IF(StatTbl[[#This Row],[Доступность]]="Есть слот!",COUNTIFS(OFFSET(D204:$Q204,0,SearchDay-1),"&lt;="&amp; ValidC,OFFSET(D204:$Q204,0,SearchDay-1),"&gt;-1"),0),0)</f>
        <v>0</v>
      </c>
      <c r="V204" t="str" cm="1">
        <f t="array" aca="1" ref="V204" ca="1">IF(StatTbl[[#This Row],[Кол-во слотов]]&gt;0, B204&amp;" "&amp;C204&amp;" "&amp;_xlfn.TEXTJOIN(", ",FALSE,TEXT(_xlfn._xlws.FILTER(OFFSET($D$8:$Q$8,0,SearchDay-1,,15-SearchDay),(OFFSET(D204:Q204,0,SearchDay-1,,15-SearchDay)&gt;-1)*(OFFSET(D204:Q204,0,SearchDay-1,,15-SearchDay)&lt;=ValidC)),"ДД/ММ")),"")</f>
        <v/>
      </c>
      <c r="W204" t="str">
        <f t="shared" si="3"/>
        <v>СЦ ИжевскQR-поставка</v>
      </c>
      <c r="Y204" s="10"/>
      <c r="Z204" s="10"/>
      <c r="AA204" s="10"/>
      <c r="AB204" s="10"/>
    </row>
    <row r="205" spans="2:28" x14ac:dyDescent="0.45">
      <c r="B205" s="12" t="s">
        <v>55</v>
      </c>
      <c r="C205" s="12" t="s">
        <v>109</v>
      </c>
      <c r="D205" s="35">
        <v>10</v>
      </c>
      <c r="E205" s="35">
        <v>10</v>
      </c>
      <c r="F205" s="35">
        <v>10</v>
      </c>
      <c r="G205" s="35">
        <v>10</v>
      </c>
      <c r="H205" s="35">
        <v>10</v>
      </c>
      <c r="I205" s="35">
        <v>10</v>
      </c>
      <c r="J205" s="35">
        <v>10</v>
      </c>
      <c r="K205" s="35">
        <v>10</v>
      </c>
      <c r="L205" s="35">
        <v>10</v>
      </c>
      <c r="M205" s="35">
        <v>10</v>
      </c>
      <c r="N205" s="35">
        <v>10</v>
      </c>
      <c r="O205" s="35">
        <v>10</v>
      </c>
      <c r="P205" s="35">
        <v>10</v>
      </c>
      <c r="Q205" s="35">
        <v>-1</v>
      </c>
      <c r="S205" s="5" t="str">
        <f>IF(_xlfn.XLOOKUP(StatTbl[[#This Row],[Join]],TargetSlots[Join],TargetSlots[Join],"Не найдено")&lt;&gt;"Не найдено","Ищем","Не ищем")</f>
        <v>Не ищем</v>
      </c>
      <c r="T205" s="4" t="str">
        <f ca="1">IF(COUNTIFS(OFFSET(D205:$Q205,0,SearchDay-1,,15-SearchDay),"&lt;="&amp; ValidC,OFFSET(D205:$Q205,0,SearchDay-1,,15-SearchDay),"&gt;-1")&gt;0,"Есть слот!","Ничего")</f>
        <v>Ничего</v>
      </c>
      <c r="U205">
        <f ca="1">IF(S205="Ищем",IF(StatTbl[[#This Row],[Доступность]]="Есть слот!",COUNTIFS(OFFSET(D205:$Q205,0,SearchDay-1),"&lt;="&amp; ValidC,OFFSET(D205:$Q205,0,SearchDay-1),"&gt;-1"),0),0)</f>
        <v>0</v>
      </c>
      <c r="V205" t="str" cm="1">
        <f t="array" aca="1" ref="V205" ca="1">IF(StatTbl[[#This Row],[Кол-во слотов]]&gt;0, B205&amp;" "&amp;C205&amp;" "&amp;_xlfn.TEXTJOIN(", ",FALSE,TEXT(_xlfn._xlws.FILTER(OFFSET($D$8:$Q$8,0,SearchDay-1,,15-SearchDay),(OFFSET(D205:Q205,0,SearchDay-1,,15-SearchDay)&gt;-1)*(OFFSET(D205:Q205,0,SearchDay-1,,15-SearchDay)&lt;=ValidC)),"ДД/ММ")),"")</f>
        <v/>
      </c>
      <c r="W205" t="str">
        <f t="shared" si="3"/>
        <v>СЦ ИркутскКороба</v>
      </c>
      <c r="Y205" s="10"/>
      <c r="Z205" s="10"/>
      <c r="AA205" s="10"/>
      <c r="AB205" s="10"/>
    </row>
    <row r="206" spans="2:28" x14ac:dyDescent="0.45">
      <c r="B206" s="12" t="s">
        <v>55</v>
      </c>
      <c r="C206" s="12" t="s">
        <v>110</v>
      </c>
      <c r="D206" s="35">
        <v>-1</v>
      </c>
      <c r="E206" s="35">
        <v>-1</v>
      </c>
      <c r="F206" s="35">
        <v>-1</v>
      </c>
      <c r="G206" s="35">
        <v>-1</v>
      </c>
      <c r="H206" s="35">
        <v>-1</v>
      </c>
      <c r="I206" s="35">
        <v>-1</v>
      </c>
      <c r="J206" s="35">
        <v>-1</v>
      </c>
      <c r="K206" s="35">
        <v>-1</v>
      </c>
      <c r="L206" s="35">
        <v>-1</v>
      </c>
      <c r="M206" s="35">
        <v>-1</v>
      </c>
      <c r="N206" s="35">
        <v>-1</v>
      </c>
      <c r="O206" s="35">
        <v>-1</v>
      </c>
      <c r="P206" s="35">
        <v>-1</v>
      </c>
      <c r="Q206" s="35">
        <v>-1</v>
      </c>
      <c r="S206" s="5" t="str">
        <f>IF(_xlfn.XLOOKUP(StatTbl[[#This Row],[Join]],TargetSlots[Join],TargetSlots[Join],"Не найдено")&lt;&gt;"Не найдено","Ищем","Не ищем")</f>
        <v>Не ищем</v>
      </c>
      <c r="T206" s="4" t="str">
        <f ca="1">IF(COUNTIFS(OFFSET(D206:$Q206,0,SearchDay-1,,15-SearchDay),"&lt;="&amp; ValidC,OFFSET(D206:$Q206,0,SearchDay-1,,15-SearchDay),"&gt;-1")&gt;0,"Есть слот!","Ничего")</f>
        <v>Ничего</v>
      </c>
      <c r="U206">
        <f ca="1">IF(S206="Ищем",IF(StatTbl[[#This Row],[Доступность]]="Есть слот!",COUNTIFS(OFFSET(D206:$Q206,0,SearchDay-1),"&lt;="&amp; ValidC,OFFSET(D206:$Q206,0,SearchDay-1),"&gt;-1"),0),0)</f>
        <v>0</v>
      </c>
      <c r="V206" t="str" cm="1">
        <f t="array" aca="1" ref="V206" ca="1">IF(StatTbl[[#This Row],[Кол-во слотов]]&gt;0, B206&amp;" "&amp;C206&amp;" "&amp;_xlfn.TEXTJOIN(", ",FALSE,TEXT(_xlfn._xlws.FILTER(OFFSET($D$8:$Q$8,0,SearchDay-1,,15-SearchDay),(OFFSET(D206:Q206,0,SearchDay-1,,15-SearchDay)&gt;-1)*(OFFSET(D206:Q206,0,SearchDay-1,,15-SearchDay)&lt;=ValidC)),"ДД/ММ")),"")</f>
        <v/>
      </c>
      <c r="W206" t="str">
        <f t="shared" si="3"/>
        <v>СЦ ИркутскМонопаллеты</v>
      </c>
      <c r="Y206" s="10"/>
      <c r="Z206" s="10"/>
      <c r="AA206" s="10"/>
      <c r="AB206" s="10"/>
    </row>
    <row r="207" spans="2:28" x14ac:dyDescent="0.45">
      <c r="B207" s="12" t="s">
        <v>55</v>
      </c>
      <c r="C207" s="12" t="s">
        <v>6</v>
      </c>
      <c r="D207" s="35">
        <v>-1</v>
      </c>
      <c r="E207" s="35">
        <v>-1</v>
      </c>
      <c r="F207" s="35">
        <v>-1</v>
      </c>
      <c r="G207" s="35">
        <v>-1</v>
      </c>
      <c r="H207" s="35">
        <v>-1</v>
      </c>
      <c r="I207" s="35">
        <v>-1</v>
      </c>
      <c r="J207" s="35">
        <v>-1</v>
      </c>
      <c r="K207" s="35">
        <v>-1</v>
      </c>
      <c r="L207" s="35">
        <v>-1</v>
      </c>
      <c r="M207" s="35">
        <v>-1</v>
      </c>
      <c r="N207" s="35">
        <v>-1</v>
      </c>
      <c r="O207" s="35">
        <v>-1</v>
      </c>
      <c r="P207" s="35">
        <v>-1</v>
      </c>
      <c r="Q207" s="35">
        <v>-1</v>
      </c>
      <c r="S207" s="5" t="str">
        <f>IF(_xlfn.XLOOKUP(StatTbl[[#This Row],[Join]],TargetSlots[Join],TargetSlots[Join],"Не найдено")&lt;&gt;"Не найдено","Ищем","Не ищем")</f>
        <v>Не ищем</v>
      </c>
      <c r="T207" s="4" t="str">
        <f ca="1">IF(COUNTIFS(OFFSET(D207:$Q207,0,SearchDay-1,,15-SearchDay),"&lt;="&amp; ValidC,OFFSET(D207:$Q207,0,SearchDay-1,,15-SearchDay),"&gt;-1")&gt;0,"Есть слот!","Ничего")</f>
        <v>Ничего</v>
      </c>
      <c r="U207">
        <f ca="1">IF(S207="Ищем",IF(StatTbl[[#This Row],[Доступность]]="Есть слот!",COUNTIFS(OFFSET(D207:$Q207,0,SearchDay-1),"&lt;="&amp; ValidC,OFFSET(D207:$Q207,0,SearchDay-1),"&gt;-1"),0),0)</f>
        <v>0</v>
      </c>
      <c r="V207" t="str" cm="1">
        <f t="array" aca="1" ref="V207" ca="1">IF(StatTbl[[#This Row],[Кол-во слотов]]&gt;0, B207&amp;" "&amp;C207&amp;" "&amp;_xlfn.TEXTJOIN(", ",FALSE,TEXT(_xlfn._xlws.FILTER(OFFSET($D$8:$Q$8,0,SearchDay-1,,15-SearchDay),(OFFSET(D207:Q207,0,SearchDay-1,,15-SearchDay)&gt;-1)*(OFFSET(D207:Q207,0,SearchDay-1,,15-SearchDay)&lt;=ValidC)),"ДД/ММ")),"")</f>
        <v/>
      </c>
      <c r="W207" t="str">
        <f t="shared" si="3"/>
        <v>СЦ ИркутскСуперсейф</v>
      </c>
      <c r="Y207" s="10"/>
      <c r="Z207" s="10"/>
      <c r="AA207" s="10"/>
      <c r="AB207" s="10"/>
    </row>
    <row r="208" spans="2:28" x14ac:dyDescent="0.45">
      <c r="B208" s="12" t="s">
        <v>55</v>
      </c>
      <c r="C208" s="12" t="s">
        <v>111</v>
      </c>
      <c r="D208" s="35">
        <v>10</v>
      </c>
      <c r="E208" s="35">
        <v>10</v>
      </c>
      <c r="F208" s="35">
        <v>10</v>
      </c>
      <c r="G208" s="35">
        <v>10</v>
      </c>
      <c r="H208" s="35">
        <v>10</v>
      </c>
      <c r="I208" s="35">
        <v>10</v>
      </c>
      <c r="J208" s="35">
        <v>10</v>
      </c>
      <c r="K208" s="35">
        <v>10</v>
      </c>
      <c r="L208" s="35">
        <v>10</v>
      </c>
      <c r="M208" s="35">
        <v>10</v>
      </c>
      <c r="N208" s="35">
        <v>10</v>
      </c>
      <c r="O208" s="35">
        <v>-1</v>
      </c>
      <c r="P208" s="35">
        <v>-1</v>
      </c>
      <c r="Q208" s="35">
        <v>-1</v>
      </c>
      <c r="S208" s="5" t="str">
        <f>IF(_xlfn.XLOOKUP(StatTbl[[#This Row],[Join]],TargetSlots[Join],TargetSlots[Join],"Не найдено")&lt;&gt;"Не найдено","Ищем","Не ищем")</f>
        <v>Не ищем</v>
      </c>
      <c r="T208" s="4" t="str">
        <f ca="1">IF(COUNTIFS(OFFSET(D208:$Q208,0,SearchDay-1,,15-SearchDay),"&lt;="&amp; ValidC,OFFSET(D208:$Q208,0,SearchDay-1,,15-SearchDay),"&gt;-1")&gt;0,"Есть слот!","Ничего")</f>
        <v>Ничего</v>
      </c>
      <c r="U208">
        <f ca="1">IF(S208="Ищем",IF(StatTbl[[#This Row],[Доступность]]="Есть слот!",COUNTIFS(OFFSET(D208:$Q208,0,SearchDay-1),"&lt;="&amp; ValidC,OFFSET(D208:$Q208,0,SearchDay-1),"&gt;-1"),0),0)</f>
        <v>0</v>
      </c>
      <c r="V208" t="str" cm="1">
        <f t="array" aca="1" ref="V208" ca="1">IF(StatTbl[[#This Row],[Кол-во слотов]]&gt;0, B208&amp;" "&amp;C208&amp;" "&amp;_xlfn.TEXTJOIN(", ",FALSE,TEXT(_xlfn._xlws.FILTER(OFFSET($D$8:$Q$8,0,SearchDay-1,,15-SearchDay),(OFFSET(D208:Q208,0,SearchDay-1,,15-SearchDay)&gt;-1)*(OFFSET(D208:Q208,0,SearchDay-1,,15-SearchDay)&lt;=ValidC)),"ДД/ММ")),"")</f>
        <v/>
      </c>
      <c r="W208" t="str">
        <f t="shared" si="3"/>
        <v>СЦ ИркутскQR-поставка</v>
      </c>
      <c r="Y208" s="10"/>
      <c r="Z208" s="10"/>
      <c r="AA208" s="10"/>
      <c r="AB208" s="10"/>
    </row>
    <row r="209" spans="2:28" x14ac:dyDescent="0.45">
      <c r="B209" s="12" t="s">
        <v>56</v>
      </c>
      <c r="C209" s="12" t="s">
        <v>109</v>
      </c>
      <c r="D209" s="35">
        <v>-1</v>
      </c>
      <c r="E209" s="35">
        <v>-1</v>
      </c>
      <c r="F209" s="35">
        <v>-1</v>
      </c>
      <c r="G209" s="35">
        <v>-1</v>
      </c>
      <c r="H209" s="35">
        <v>-1</v>
      </c>
      <c r="I209" s="35">
        <v>-1</v>
      </c>
      <c r="J209" s="35">
        <v>-1</v>
      </c>
      <c r="K209" s="35">
        <v>-1</v>
      </c>
      <c r="L209" s="35">
        <v>-1</v>
      </c>
      <c r="M209" s="35">
        <v>-1</v>
      </c>
      <c r="N209" s="35">
        <v>-1</v>
      </c>
      <c r="O209" s="35">
        <v>-1</v>
      </c>
      <c r="P209" s="35">
        <v>-1</v>
      </c>
      <c r="Q209" s="35">
        <v>-1</v>
      </c>
      <c r="S209" s="5" t="str">
        <f>IF(_xlfn.XLOOKUP(StatTbl[[#This Row],[Join]],TargetSlots[Join],TargetSlots[Join],"Не найдено")&lt;&gt;"Не найдено","Ищем","Не ищем")</f>
        <v>Не ищем</v>
      </c>
      <c r="T209" s="4" t="str">
        <f ca="1">IF(COUNTIFS(OFFSET(D209:$Q209,0,SearchDay-1,,15-SearchDay),"&lt;="&amp; ValidC,OFFSET(D209:$Q209,0,SearchDay-1,,15-SearchDay),"&gt;-1")&gt;0,"Есть слот!","Ничего")</f>
        <v>Ничего</v>
      </c>
      <c r="U209">
        <f ca="1">IF(S209="Ищем",IF(StatTbl[[#This Row],[Доступность]]="Есть слот!",COUNTIFS(OFFSET(D209:$Q209,0,SearchDay-1),"&lt;="&amp; ValidC,OFFSET(D209:$Q209,0,SearchDay-1),"&gt;-1"),0),0)</f>
        <v>0</v>
      </c>
      <c r="V209" t="str" cm="1">
        <f t="array" aca="1" ref="V209" ca="1">IF(StatTbl[[#This Row],[Кол-во слотов]]&gt;0, B209&amp;" "&amp;C209&amp;" "&amp;_xlfn.TEXTJOIN(", ",FALSE,TEXT(_xlfn._xlws.FILTER(OFFSET($D$8:$Q$8,0,SearchDay-1,,15-SearchDay),(OFFSET(D209:Q209,0,SearchDay-1,,15-SearchDay)&gt;-1)*(OFFSET(D209:Q209,0,SearchDay-1,,15-SearchDay)&lt;=ValidC)),"ДД/ММ")),"")</f>
        <v/>
      </c>
      <c r="W209" t="str">
        <f t="shared" si="3"/>
        <v>СЦ КалугаКороба</v>
      </c>
      <c r="Y209" s="10"/>
      <c r="Z209" s="10"/>
      <c r="AA209" s="10"/>
      <c r="AB209" s="10"/>
    </row>
    <row r="210" spans="2:28" x14ac:dyDescent="0.45">
      <c r="B210" s="12" t="s">
        <v>56</v>
      </c>
      <c r="C210" s="12" t="s">
        <v>110</v>
      </c>
      <c r="D210" s="35">
        <v>-1</v>
      </c>
      <c r="E210" s="35">
        <v>-1</v>
      </c>
      <c r="F210" s="35">
        <v>-1</v>
      </c>
      <c r="G210" s="35">
        <v>-1</v>
      </c>
      <c r="H210" s="35">
        <v>-1</v>
      </c>
      <c r="I210" s="35">
        <v>-1</v>
      </c>
      <c r="J210" s="35">
        <v>-1</v>
      </c>
      <c r="K210" s="35">
        <v>-1</v>
      </c>
      <c r="L210" s="35">
        <v>-1</v>
      </c>
      <c r="M210" s="35">
        <v>-1</v>
      </c>
      <c r="N210" s="35">
        <v>-1</v>
      </c>
      <c r="O210" s="35">
        <v>-1</v>
      </c>
      <c r="P210" s="35">
        <v>-1</v>
      </c>
      <c r="Q210" s="35">
        <v>-1</v>
      </c>
      <c r="S210" s="5" t="str">
        <f>IF(_xlfn.XLOOKUP(StatTbl[[#This Row],[Join]],TargetSlots[Join],TargetSlots[Join],"Не найдено")&lt;&gt;"Не найдено","Ищем","Не ищем")</f>
        <v>Не ищем</v>
      </c>
      <c r="T210" s="4" t="str">
        <f ca="1">IF(COUNTIFS(OFFSET(D210:$Q210,0,SearchDay-1,,15-SearchDay),"&lt;="&amp; ValidC,OFFSET(D210:$Q210,0,SearchDay-1,,15-SearchDay),"&gt;-1")&gt;0,"Есть слот!","Ничего")</f>
        <v>Ничего</v>
      </c>
      <c r="U210">
        <f ca="1">IF(S210="Ищем",IF(StatTbl[[#This Row],[Доступность]]="Есть слот!",COUNTIFS(OFFSET(D210:$Q210,0,SearchDay-1),"&lt;="&amp; ValidC,OFFSET(D210:$Q210,0,SearchDay-1),"&gt;-1"),0),0)</f>
        <v>0</v>
      </c>
      <c r="V210" t="str" cm="1">
        <f t="array" aca="1" ref="V210" ca="1">IF(StatTbl[[#This Row],[Кол-во слотов]]&gt;0, B210&amp;" "&amp;C210&amp;" "&amp;_xlfn.TEXTJOIN(", ",FALSE,TEXT(_xlfn._xlws.FILTER(OFFSET($D$8:$Q$8,0,SearchDay-1,,15-SearchDay),(OFFSET(D210:Q210,0,SearchDay-1,,15-SearchDay)&gt;-1)*(OFFSET(D210:Q210,0,SearchDay-1,,15-SearchDay)&lt;=ValidC)),"ДД/ММ")),"")</f>
        <v/>
      </c>
      <c r="W210" t="str">
        <f t="shared" si="3"/>
        <v>СЦ КалугаМонопаллеты</v>
      </c>
      <c r="Y210" s="10"/>
      <c r="Z210" s="10"/>
      <c r="AA210" s="10"/>
      <c r="AB210" s="10"/>
    </row>
    <row r="211" spans="2:28" x14ac:dyDescent="0.45">
      <c r="B211" s="12" t="s">
        <v>56</v>
      </c>
      <c r="C211" s="12" t="s">
        <v>6</v>
      </c>
      <c r="D211" s="35">
        <v>-1</v>
      </c>
      <c r="E211" s="35">
        <v>-1</v>
      </c>
      <c r="F211" s="35">
        <v>-1</v>
      </c>
      <c r="G211" s="35">
        <v>-1</v>
      </c>
      <c r="H211" s="35">
        <v>-1</v>
      </c>
      <c r="I211" s="35">
        <v>-1</v>
      </c>
      <c r="J211" s="35">
        <v>-1</v>
      </c>
      <c r="K211" s="35">
        <v>-1</v>
      </c>
      <c r="L211" s="35">
        <v>-1</v>
      </c>
      <c r="M211" s="35">
        <v>-1</v>
      </c>
      <c r="N211" s="35">
        <v>-1</v>
      </c>
      <c r="O211" s="35">
        <v>-1</v>
      </c>
      <c r="P211" s="35">
        <v>-1</v>
      </c>
      <c r="Q211" s="35">
        <v>-1</v>
      </c>
      <c r="S211" s="5" t="str">
        <f>IF(_xlfn.XLOOKUP(StatTbl[[#This Row],[Join]],TargetSlots[Join],TargetSlots[Join],"Не найдено")&lt;&gt;"Не найдено","Ищем","Не ищем")</f>
        <v>Не ищем</v>
      </c>
      <c r="T211" s="4" t="str">
        <f ca="1">IF(COUNTIFS(OFFSET(D211:$Q211,0,SearchDay-1,,15-SearchDay),"&lt;="&amp; ValidC,OFFSET(D211:$Q211,0,SearchDay-1,,15-SearchDay),"&gt;-1")&gt;0,"Есть слот!","Ничего")</f>
        <v>Ничего</v>
      </c>
      <c r="U211">
        <f ca="1">IF(S211="Ищем",IF(StatTbl[[#This Row],[Доступность]]="Есть слот!",COUNTIFS(OFFSET(D211:$Q211,0,SearchDay-1),"&lt;="&amp; ValidC,OFFSET(D211:$Q211,0,SearchDay-1),"&gt;-1"),0),0)</f>
        <v>0</v>
      </c>
      <c r="V211" t="str" cm="1">
        <f t="array" aca="1" ref="V211" ca="1">IF(StatTbl[[#This Row],[Кол-во слотов]]&gt;0, B211&amp;" "&amp;C211&amp;" "&amp;_xlfn.TEXTJOIN(", ",FALSE,TEXT(_xlfn._xlws.FILTER(OFFSET($D$8:$Q$8,0,SearchDay-1,,15-SearchDay),(OFFSET(D211:Q211,0,SearchDay-1,,15-SearchDay)&gt;-1)*(OFFSET(D211:Q211,0,SearchDay-1,,15-SearchDay)&lt;=ValidC)),"ДД/ММ")),"")</f>
        <v/>
      </c>
      <c r="W211" t="str">
        <f t="shared" si="3"/>
        <v>СЦ КалугаСуперсейф</v>
      </c>
      <c r="Y211" s="10"/>
      <c r="Z211" s="10"/>
      <c r="AA211" s="10"/>
      <c r="AB211" s="10"/>
    </row>
    <row r="212" spans="2:28" x14ac:dyDescent="0.45">
      <c r="B212" s="12" t="s">
        <v>56</v>
      </c>
      <c r="C212" s="12" t="s">
        <v>111</v>
      </c>
      <c r="D212" s="35">
        <v>20</v>
      </c>
      <c r="E212" s="35">
        <v>20</v>
      </c>
      <c r="F212" s="35">
        <v>20</v>
      </c>
      <c r="G212" s="35">
        <v>20</v>
      </c>
      <c r="H212" s="35">
        <v>-1</v>
      </c>
      <c r="I212" s="35">
        <v>-1</v>
      </c>
      <c r="J212" s="35">
        <v>-1</v>
      </c>
      <c r="K212" s="35">
        <v>-1</v>
      </c>
      <c r="L212" s="35">
        <v>-1</v>
      </c>
      <c r="M212" s="35">
        <v>-1</v>
      </c>
      <c r="N212" s="35">
        <v>-1</v>
      </c>
      <c r="O212" s="35">
        <v>-1</v>
      </c>
      <c r="P212" s="35">
        <v>-1</v>
      </c>
      <c r="Q212" s="35">
        <v>-1</v>
      </c>
      <c r="S212" s="5" t="str">
        <f>IF(_xlfn.XLOOKUP(StatTbl[[#This Row],[Join]],TargetSlots[Join],TargetSlots[Join],"Не найдено")&lt;&gt;"Не найдено","Ищем","Не ищем")</f>
        <v>Не ищем</v>
      </c>
      <c r="T212" s="4" t="str">
        <f ca="1">IF(COUNTIFS(OFFSET(D212:$Q212,0,SearchDay-1,,15-SearchDay),"&lt;="&amp; ValidC,OFFSET(D212:$Q212,0,SearchDay-1,,15-SearchDay),"&gt;-1")&gt;0,"Есть слот!","Ничего")</f>
        <v>Ничего</v>
      </c>
      <c r="U212">
        <f ca="1">IF(S212="Ищем",IF(StatTbl[[#This Row],[Доступность]]="Есть слот!",COUNTIFS(OFFSET(D212:$Q212,0,SearchDay-1),"&lt;="&amp; ValidC,OFFSET(D212:$Q212,0,SearchDay-1),"&gt;-1"),0),0)</f>
        <v>0</v>
      </c>
      <c r="V212" t="str" cm="1">
        <f t="array" aca="1" ref="V212" ca="1">IF(StatTbl[[#This Row],[Кол-во слотов]]&gt;0, B212&amp;" "&amp;C212&amp;" "&amp;_xlfn.TEXTJOIN(", ",FALSE,TEXT(_xlfn._xlws.FILTER(OFFSET($D$8:$Q$8,0,SearchDay-1,,15-SearchDay),(OFFSET(D212:Q212,0,SearchDay-1,,15-SearchDay)&gt;-1)*(OFFSET(D212:Q212,0,SearchDay-1,,15-SearchDay)&lt;=ValidC)),"ДД/ММ")),"")</f>
        <v/>
      </c>
      <c r="W212" t="str">
        <f t="shared" si="3"/>
        <v>СЦ КалугаQR-поставка</v>
      </c>
      <c r="Y212" s="10"/>
      <c r="Z212" s="10"/>
      <c r="AA212" s="10"/>
      <c r="AB212" s="10"/>
    </row>
    <row r="213" spans="2:28" x14ac:dyDescent="0.45">
      <c r="B213" s="12" t="s">
        <v>57</v>
      </c>
      <c r="C213" s="12" t="s">
        <v>109</v>
      </c>
      <c r="D213" s="35">
        <v>10</v>
      </c>
      <c r="E213" s="35">
        <v>10</v>
      </c>
      <c r="F213" s="35">
        <v>10</v>
      </c>
      <c r="G213" s="35">
        <v>10</v>
      </c>
      <c r="H213" s="35">
        <v>10</v>
      </c>
      <c r="I213" s="35">
        <v>10</v>
      </c>
      <c r="J213" s="35">
        <v>10</v>
      </c>
      <c r="K213" s="35">
        <v>10</v>
      </c>
      <c r="L213" s="35">
        <v>10</v>
      </c>
      <c r="M213" s="35">
        <v>10</v>
      </c>
      <c r="N213" s="35">
        <v>10</v>
      </c>
      <c r="O213" s="35">
        <v>10</v>
      </c>
      <c r="P213" s="35">
        <v>10</v>
      </c>
      <c r="Q213" s="35">
        <v>-1</v>
      </c>
      <c r="S213" s="5" t="str">
        <f>IF(_xlfn.XLOOKUP(StatTbl[[#This Row],[Join]],TargetSlots[Join],TargetSlots[Join],"Не найдено")&lt;&gt;"Не найдено","Ищем","Не ищем")</f>
        <v>Не ищем</v>
      </c>
      <c r="T213" s="4" t="str">
        <f ca="1">IF(COUNTIFS(OFFSET(D213:$Q213,0,SearchDay-1,,15-SearchDay),"&lt;="&amp; ValidC,OFFSET(D213:$Q213,0,SearchDay-1,,15-SearchDay),"&gt;-1")&gt;0,"Есть слот!","Ничего")</f>
        <v>Ничего</v>
      </c>
      <c r="U213">
        <f ca="1">IF(S213="Ищем",IF(StatTbl[[#This Row],[Доступность]]="Есть слот!",COUNTIFS(OFFSET(D213:$Q213,0,SearchDay-1),"&lt;="&amp; ValidC,OFFSET(D213:$Q213,0,SearchDay-1),"&gt;-1"),0),0)</f>
        <v>0</v>
      </c>
      <c r="V213" t="str" cm="1">
        <f t="array" aca="1" ref="V213" ca="1">IF(StatTbl[[#This Row],[Кол-во слотов]]&gt;0, B213&amp;" "&amp;C213&amp;" "&amp;_xlfn.TEXTJOIN(", ",FALSE,TEXT(_xlfn._xlws.FILTER(OFFSET($D$8:$Q$8,0,SearchDay-1,,15-SearchDay),(OFFSET(D213:Q213,0,SearchDay-1,,15-SearchDay)&gt;-1)*(OFFSET(D213:Q213,0,SearchDay-1,,15-SearchDay)&lt;=ValidC)),"ДД/ММ")),"")</f>
        <v/>
      </c>
      <c r="W213" t="str">
        <f t="shared" si="3"/>
        <v>СЦ КемеровоКороба</v>
      </c>
      <c r="Y213" s="10"/>
      <c r="Z213" s="10"/>
      <c r="AA213" s="10"/>
      <c r="AB213" s="10"/>
    </row>
    <row r="214" spans="2:28" x14ac:dyDescent="0.45">
      <c r="B214" s="12" t="s">
        <v>57</v>
      </c>
      <c r="C214" s="12" t="s">
        <v>110</v>
      </c>
      <c r="D214" s="35">
        <v>-1</v>
      </c>
      <c r="E214" s="35">
        <v>-1</v>
      </c>
      <c r="F214" s="35">
        <v>-1</v>
      </c>
      <c r="G214" s="35">
        <v>-1</v>
      </c>
      <c r="H214" s="35">
        <v>-1</v>
      </c>
      <c r="I214" s="35">
        <v>-1</v>
      </c>
      <c r="J214" s="35">
        <v>-1</v>
      </c>
      <c r="K214" s="35">
        <v>-1</v>
      </c>
      <c r="L214" s="35">
        <v>-1</v>
      </c>
      <c r="M214" s="35">
        <v>-1</v>
      </c>
      <c r="N214" s="35">
        <v>-1</v>
      </c>
      <c r="O214" s="35">
        <v>-1</v>
      </c>
      <c r="P214" s="35">
        <v>-1</v>
      </c>
      <c r="Q214" s="35">
        <v>-1</v>
      </c>
      <c r="S214" s="5" t="str">
        <f>IF(_xlfn.XLOOKUP(StatTbl[[#This Row],[Join]],TargetSlots[Join],TargetSlots[Join],"Не найдено")&lt;&gt;"Не найдено","Ищем","Не ищем")</f>
        <v>Не ищем</v>
      </c>
      <c r="T214" s="4" t="str">
        <f ca="1">IF(COUNTIFS(OFFSET(D214:$Q214,0,SearchDay-1,,15-SearchDay),"&lt;="&amp; ValidC,OFFSET(D214:$Q214,0,SearchDay-1,,15-SearchDay),"&gt;-1")&gt;0,"Есть слот!","Ничего")</f>
        <v>Ничего</v>
      </c>
      <c r="U214">
        <f ca="1">IF(S214="Ищем",IF(StatTbl[[#This Row],[Доступность]]="Есть слот!",COUNTIFS(OFFSET(D214:$Q214,0,SearchDay-1),"&lt;="&amp; ValidC,OFFSET(D214:$Q214,0,SearchDay-1),"&gt;-1"),0),0)</f>
        <v>0</v>
      </c>
      <c r="V214" t="str" cm="1">
        <f t="array" aca="1" ref="V214" ca="1">IF(StatTbl[[#This Row],[Кол-во слотов]]&gt;0, B214&amp;" "&amp;C214&amp;" "&amp;_xlfn.TEXTJOIN(", ",FALSE,TEXT(_xlfn._xlws.FILTER(OFFSET($D$8:$Q$8,0,SearchDay-1,,15-SearchDay),(OFFSET(D214:Q214,0,SearchDay-1,,15-SearchDay)&gt;-1)*(OFFSET(D214:Q214,0,SearchDay-1,,15-SearchDay)&lt;=ValidC)),"ДД/ММ")),"")</f>
        <v/>
      </c>
      <c r="W214" t="str">
        <f t="shared" si="3"/>
        <v>СЦ КемеровоМонопаллеты</v>
      </c>
      <c r="Y214" s="10"/>
      <c r="Z214" s="10"/>
      <c r="AA214" s="10"/>
      <c r="AB214" s="10"/>
    </row>
    <row r="215" spans="2:28" x14ac:dyDescent="0.45">
      <c r="B215" s="12" t="s">
        <v>57</v>
      </c>
      <c r="C215" s="12" t="s">
        <v>6</v>
      </c>
      <c r="D215" s="35">
        <v>-1</v>
      </c>
      <c r="E215" s="35">
        <v>-1</v>
      </c>
      <c r="F215" s="35">
        <v>-1</v>
      </c>
      <c r="G215" s="35">
        <v>-1</v>
      </c>
      <c r="H215" s="35">
        <v>-1</v>
      </c>
      <c r="I215" s="35">
        <v>-1</v>
      </c>
      <c r="J215" s="35">
        <v>-1</v>
      </c>
      <c r="K215" s="35">
        <v>-1</v>
      </c>
      <c r="L215" s="35">
        <v>-1</v>
      </c>
      <c r="M215" s="35">
        <v>-1</v>
      </c>
      <c r="N215" s="35">
        <v>-1</v>
      </c>
      <c r="O215" s="35">
        <v>-1</v>
      </c>
      <c r="P215" s="35">
        <v>-1</v>
      </c>
      <c r="Q215" s="35">
        <v>-1</v>
      </c>
      <c r="S215" s="5" t="str">
        <f>IF(_xlfn.XLOOKUP(StatTbl[[#This Row],[Join]],TargetSlots[Join],TargetSlots[Join],"Не найдено")&lt;&gt;"Не найдено","Ищем","Не ищем")</f>
        <v>Не ищем</v>
      </c>
      <c r="T215" s="4" t="str">
        <f ca="1">IF(COUNTIFS(OFFSET(D215:$Q215,0,SearchDay-1,,15-SearchDay),"&lt;="&amp; ValidC,OFFSET(D215:$Q215,0,SearchDay-1,,15-SearchDay),"&gt;-1")&gt;0,"Есть слот!","Ничего")</f>
        <v>Ничего</v>
      </c>
      <c r="U215">
        <f ca="1">IF(S215="Ищем",IF(StatTbl[[#This Row],[Доступность]]="Есть слот!",COUNTIFS(OFFSET(D215:$Q215,0,SearchDay-1),"&lt;="&amp; ValidC,OFFSET(D215:$Q215,0,SearchDay-1),"&gt;-1"),0),0)</f>
        <v>0</v>
      </c>
      <c r="V215" t="str" cm="1">
        <f t="array" aca="1" ref="V215" ca="1">IF(StatTbl[[#This Row],[Кол-во слотов]]&gt;0, B215&amp;" "&amp;C215&amp;" "&amp;_xlfn.TEXTJOIN(", ",FALSE,TEXT(_xlfn._xlws.FILTER(OFFSET($D$8:$Q$8,0,SearchDay-1,,15-SearchDay),(OFFSET(D215:Q215,0,SearchDay-1,,15-SearchDay)&gt;-1)*(OFFSET(D215:Q215,0,SearchDay-1,,15-SearchDay)&lt;=ValidC)),"ДД/ММ")),"")</f>
        <v/>
      </c>
      <c r="W215" t="str">
        <f t="shared" si="3"/>
        <v>СЦ КемеровоСуперсейф</v>
      </c>
      <c r="Y215" s="10"/>
      <c r="Z215" s="10"/>
      <c r="AA215" s="10"/>
      <c r="AB215" s="10"/>
    </row>
    <row r="216" spans="2:28" x14ac:dyDescent="0.45">
      <c r="B216" s="12" t="s">
        <v>57</v>
      </c>
      <c r="C216" s="12" t="s">
        <v>111</v>
      </c>
      <c r="D216" s="35">
        <v>10</v>
      </c>
      <c r="E216" s="35">
        <v>10</v>
      </c>
      <c r="F216" s="35">
        <v>10</v>
      </c>
      <c r="G216" s="35">
        <v>10</v>
      </c>
      <c r="H216" s="35">
        <v>10</v>
      </c>
      <c r="I216" s="35">
        <v>10</v>
      </c>
      <c r="J216" s="35">
        <v>10</v>
      </c>
      <c r="K216" s="35">
        <v>10</v>
      </c>
      <c r="L216" s="35">
        <v>10</v>
      </c>
      <c r="M216" s="35">
        <v>10</v>
      </c>
      <c r="N216" s="35">
        <v>10</v>
      </c>
      <c r="O216" s="35">
        <v>-1</v>
      </c>
      <c r="P216" s="35">
        <v>-1</v>
      </c>
      <c r="Q216" s="35">
        <v>-1</v>
      </c>
      <c r="S216" s="5" t="str">
        <f>IF(_xlfn.XLOOKUP(StatTbl[[#This Row],[Join]],TargetSlots[Join],TargetSlots[Join],"Не найдено")&lt;&gt;"Не найдено","Ищем","Не ищем")</f>
        <v>Не ищем</v>
      </c>
      <c r="T216" s="4" t="str">
        <f ca="1">IF(COUNTIFS(OFFSET(D216:$Q216,0,SearchDay-1,,15-SearchDay),"&lt;="&amp; ValidC,OFFSET(D216:$Q216,0,SearchDay-1,,15-SearchDay),"&gt;-1")&gt;0,"Есть слот!","Ничего")</f>
        <v>Ничего</v>
      </c>
      <c r="U216">
        <f ca="1">IF(S216="Ищем",IF(StatTbl[[#This Row],[Доступность]]="Есть слот!",COUNTIFS(OFFSET(D216:$Q216,0,SearchDay-1),"&lt;="&amp; ValidC,OFFSET(D216:$Q216,0,SearchDay-1),"&gt;-1"),0),0)</f>
        <v>0</v>
      </c>
      <c r="V216" t="str" cm="1">
        <f t="array" aca="1" ref="V216" ca="1">IF(StatTbl[[#This Row],[Кол-во слотов]]&gt;0, B216&amp;" "&amp;C216&amp;" "&amp;_xlfn.TEXTJOIN(", ",FALSE,TEXT(_xlfn._xlws.FILTER(OFFSET($D$8:$Q$8,0,SearchDay-1,,15-SearchDay),(OFFSET(D216:Q216,0,SearchDay-1,,15-SearchDay)&gt;-1)*(OFFSET(D216:Q216,0,SearchDay-1,,15-SearchDay)&lt;=ValidC)),"ДД/ММ")),"")</f>
        <v/>
      </c>
      <c r="W216" t="str">
        <f t="shared" si="3"/>
        <v>СЦ КемеровоQR-поставка</v>
      </c>
      <c r="Y216" s="10"/>
      <c r="Z216" s="10"/>
      <c r="AA216" s="10"/>
      <c r="AB216" s="10"/>
    </row>
    <row r="217" spans="2:28" x14ac:dyDescent="0.45">
      <c r="B217" s="12" t="s">
        <v>58</v>
      </c>
      <c r="C217" s="12" t="s">
        <v>109</v>
      </c>
      <c r="D217" s="35">
        <v>20</v>
      </c>
      <c r="E217" s="35">
        <v>20</v>
      </c>
      <c r="F217" s="35">
        <v>20</v>
      </c>
      <c r="G217" s="35">
        <v>20</v>
      </c>
      <c r="H217" s="35">
        <v>20</v>
      </c>
      <c r="I217" s="35">
        <v>20</v>
      </c>
      <c r="J217" s="35">
        <v>20</v>
      </c>
      <c r="K217" s="35">
        <v>20</v>
      </c>
      <c r="L217" s="35">
        <v>20</v>
      </c>
      <c r="M217" s="35">
        <v>20</v>
      </c>
      <c r="N217" s="35">
        <v>20</v>
      </c>
      <c r="O217" s="35">
        <v>20</v>
      </c>
      <c r="P217" s="35">
        <v>20</v>
      </c>
      <c r="Q217" s="35">
        <v>20</v>
      </c>
      <c r="S217" s="5" t="str">
        <f>IF(_xlfn.XLOOKUP(StatTbl[[#This Row],[Join]],TargetSlots[Join],TargetSlots[Join],"Не найдено")&lt;&gt;"Не найдено","Ищем","Не ищем")</f>
        <v>Не ищем</v>
      </c>
      <c r="T217" s="4" t="str">
        <f ca="1">IF(COUNTIFS(OFFSET(D217:$Q217,0,SearchDay-1,,15-SearchDay),"&lt;="&amp; ValidC,OFFSET(D217:$Q217,0,SearchDay-1,,15-SearchDay),"&gt;-1")&gt;0,"Есть слот!","Ничего")</f>
        <v>Ничего</v>
      </c>
      <c r="U217">
        <f ca="1">IF(S217="Ищем",IF(StatTbl[[#This Row],[Доступность]]="Есть слот!",COUNTIFS(OFFSET(D217:$Q217,0,SearchDay-1),"&lt;="&amp; ValidC,OFFSET(D217:$Q217,0,SearchDay-1),"&gt;-1"),0),0)</f>
        <v>0</v>
      </c>
      <c r="V217" t="str" cm="1">
        <f t="array" aca="1" ref="V217" ca="1">IF(StatTbl[[#This Row],[Кол-во слотов]]&gt;0, B217&amp;" "&amp;C217&amp;" "&amp;_xlfn.TEXTJOIN(", ",FALSE,TEXT(_xlfn._xlws.FILTER(OFFSET($D$8:$Q$8,0,SearchDay-1,,15-SearchDay),(OFFSET(D217:Q217,0,SearchDay-1,,15-SearchDay)&gt;-1)*(OFFSET(D217:Q217,0,SearchDay-1,,15-SearchDay)&lt;=ValidC)),"ДД/ММ")),"")</f>
        <v/>
      </c>
      <c r="W217" t="str">
        <f t="shared" si="3"/>
        <v>СЦ КировКороба</v>
      </c>
      <c r="Y217" s="10"/>
      <c r="Z217" s="10"/>
      <c r="AA217" s="10"/>
      <c r="AB217" s="10"/>
    </row>
    <row r="218" spans="2:28" x14ac:dyDescent="0.45">
      <c r="B218" s="12" t="s">
        <v>58</v>
      </c>
      <c r="C218" s="12" t="s">
        <v>110</v>
      </c>
      <c r="D218" s="35">
        <v>-1</v>
      </c>
      <c r="E218" s="35">
        <v>-1</v>
      </c>
      <c r="F218" s="35">
        <v>-1</v>
      </c>
      <c r="G218" s="35">
        <v>-1</v>
      </c>
      <c r="H218" s="35">
        <v>-1</v>
      </c>
      <c r="I218" s="35">
        <v>-1</v>
      </c>
      <c r="J218" s="35">
        <v>-1</v>
      </c>
      <c r="K218" s="35">
        <v>-1</v>
      </c>
      <c r="L218" s="35">
        <v>-1</v>
      </c>
      <c r="M218" s="35">
        <v>-1</v>
      </c>
      <c r="N218" s="35">
        <v>-1</v>
      </c>
      <c r="O218" s="35">
        <v>-1</v>
      </c>
      <c r="P218" s="35">
        <v>-1</v>
      </c>
      <c r="Q218" s="35">
        <v>-1</v>
      </c>
      <c r="S218" s="5" t="str">
        <f>IF(_xlfn.XLOOKUP(StatTbl[[#This Row],[Join]],TargetSlots[Join],TargetSlots[Join],"Не найдено")&lt;&gt;"Не найдено","Ищем","Не ищем")</f>
        <v>Не ищем</v>
      </c>
      <c r="T218" s="4" t="str">
        <f ca="1">IF(COUNTIFS(OFFSET(D218:$Q218,0,SearchDay-1,,15-SearchDay),"&lt;="&amp; ValidC,OFFSET(D218:$Q218,0,SearchDay-1,,15-SearchDay),"&gt;-1")&gt;0,"Есть слот!","Ничего")</f>
        <v>Ничего</v>
      </c>
      <c r="U218">
        <f ca="1">IF(S218="Ищем",IF(StatTbl[[#This Row],[Доступность]]="Есть слот!",COUNTIFS(OFFSET(D218:$Q218,0,SearchDay-1),"&lt;="&amp; ValidC,OFFSET(D218:$Q218,0,SearchDay-1),"&gt;-1"),0),0)</f>
        <v>0</v>
      </c>
      <c r="V218" t="str" cm="1">
        <f t="array" aca="1" ref="V218" ca="1">IF(StatTbl[[#This Row],[Кол-во слотов]]&gt;0, B218&amp;" "&amp;C218&amp;" "&amp;_xlfn.TEXTJOIN(", ",FALSE,TEXT(_xlfn._xlws.FILTER(OFFSET($D$8:$Q$8,0,SearchDay-1,,15-SearchDay),(OFFSET(D218:Q218,0,SearchDay-1,,15-SearchDay)&gt;-1)*(OFFSET(D218:Q218,0,SearchDay-1,,15-SearchDay)&lt;=ValidC)),"ДД/ММ")),"")</f>
        <v/>
      </c>
      <c r="W218" t="str">
        <f t="shared" si="3"/>
        <v>СЦ КировМонопаллеты</v>
      </c>
      <c r="Y218" s="10"/>
      <c r="Z218" s="10"/>
      <c r="AA218" s="10"/>
      <c r="AB218" s="10"/>
    </row>
    <row r="219" spans="2:28" x14ac:dyDescent="0.45">
      <c r="B219" s="12" t="s">
        <v>58</v>
      </c>
      <c r="C219" s="12" t="s">
        <v>6</v>
      </c>
      <c r="D219" s="35">
        <v>-1</v>
      </c>
      <c r="E219" s="35">
        <v>-1</v>
      </c>
      <c r="F219" s="35">
        <v>-1</v>
      </c>
      <c r="G219" s="35">
        <v>-1</v>
      </c>
      <c r="H219" s="35">
        <v>-1</v>
      </c>
      <c r="I219" s="35">
        <v>-1</v>
      </c>
      <c r="J219" s="35">
        <v>-1</v>
      </c>
      <c r="K219" s="35">
        <v>-1</v>
      </c>
      <c r="L219" s="35">
        <v>-1</v>
      </c>
      <c r="M219" s="35">
        <v>-1</v>
      </c>
      <c r="N219" s="35">
        <v>-1</v>
      </c>
      <c r="O219" s="35">
        <v>-1</v>
      </c>
      <c r="P219" s="35">
        <v>-1</v>
      </c>
      <c r="Q219" s="35">
        <v>-1</v>
      </c>
      <c r="S219" s="5" t="str">
        <f>IF(_xlfn.XLOOKUP(StatTbl[[#This Row],[Join]],TargetSlots[Join],TargetSlots[Join],"Не найдено")&lt;&gt;"Не найдено","Ищем","Не ищем")</f>
        <v>Не ищем</v>
      </c>
      <c r="T219" s="4" t="str">
        <f ca="1">IF(COUNTIFS(OFFSET(D219:$Q219,0,SearchDay-1,,15-SearchDay),"&lt;="&amp; ValidC,OFFSET(D219:$Q219,0,SearchDay-1,,15-SearchDay),"&gt;-1")&gt;0,"Есть слот!","Ничего")</f>
        <v>Ничего</v>
      </c>
      <c r="U219">
        <f ca="1">IF(S219="Ищем",IF(StatTbl[[#This Row],[Доступность]]="Есть слот!",COUNTIFS(OFFSET(D219:$Q219,0,SearchDay-1),"&lt;="&amp; ValidC,OFFSET(D219:$Q219,0,SearchDay-1),"&gt;-1"),0),0)</f>
        <v>0</v>
      </c>
      <c r="V219" t="str" cm="1">
        <f t="array" aca="1" ref="V219" ca="1">IF(StatTbl[[#This Row],[Кол-во слотов]]&gt;0, B219&amp;" "&amp;C219&amp;" "&amp;_xlfn.TEXTJOIN(", ",FALSE,TEXT(_xlfn._xlws.FILTER(OFFSET($D$8:$Q$8,0,SearchDay-1,,15-SearchDay),(OFFSET(D219:Q219,0,SearchDay-1,,15-SearchDay)&gt;-1)*(OFFSET(D219:Q219,0,SearchDay-1,,15-SearchDay)&lt;=ValidC)),"ДД/ММ")),"")</f>
        <v/>
      </c>
      <c r="W219" t="str">
        <f t="shared" si="3"/>
        <v>СЦ КировСуперсейф</v>
      </c>
      <c r="Y219" s="10"/>
      <c r="Z219" s="10"/>
      <c r="AA219" s="10"/>
      <c r="AB219" s="10"/>
    </row>
    <row r="220" spans="2:28" x14ac:dyDescent="0.45">
      <c r="B220" s="12" t="s">
        <v>58</v>
      </c>
      <c r="C220" s="12" t="s">
        <v>111</v>
      </c>
      <c r="D220" s="35">
        <v>20</v>
      </c>
      <c r="E220" s="35">
        <v>20</v>
      </c>
      <c r="F220" s="35">
        <v>20</v>
      </c>
      <c r="G220" s="35">
        <v>20</v>
      </c>
      <c r="H220" s="35">
        <v>20</v>
      </c>
      <c r="I220" s="35">
        <v>20</v>
      </c>
      <c r="J220" s="35">
        <v>20</v>
      </c>
      <c r="K220" s="35">
        <v>20</v>
      </c>
      <c r="L220" s="35">
        <v>20</v>
      </c>
      <c r="M220" s="35">
        <v>20</v>
      </c>
      <c r="N220" s="35">
        <v>20</v>
      </c>
      <c r="O220" s="35">
        <v>-1</v>
      </c>
      <c r="P220" s="35">
        <v>-1</v>
      </c>
      <c r="Q220" s="35">
        <v>-1</v>
      </c>
      <c r="S220" s="5" t="str">
        <f>IF(_xlfn.XLOOKUP(StatTbl[[#This Row],[Join]],TargetSlots[Join],TargetSlots[Join],"Не найдено")&lt;&gt;"Не найдено","Ищем","Не ищем")</f>
        <v>Не ищем</v>
      </c>
      <c r="T220" s="4" t="str">
        <f ca="1">IF(COUNTIFS(OFFSET(D220:$Q220,0,SearchDay-1,,15-SearchDay),"&lt;="&amp; ValidC,OFFSET(D220:$Q220,0,SearchDay-1,,15-SearchDay),"&gt;-1")&gt;0,"Есть слот!","Ничего")</f>
        <v>Ничего</v>
      </c>
      <c r="U220">
        <f ca="1">IF(S220="Ищем",IF(StatTbl[[#This Row],[Доступность]]="Есть слот!",COUNTIFS(OFFSET(D220:$Q220,0,SearchDay-1),"&lt;="&amp; ValidC,OFFSET(D220:$Q220,0,SearchDay-1),"&gt;-1"),0),0)</f>
        <v>0</v>
      </c>
      <c r="V220" t="str" cm="1">
        <f t="array" aca="1" ref="V220" ca="1">IF(StatTbl[[#This Row],[Кол-во слотов]]&gt;0, B220&amp;" "&amp;C220&amp;" "&amp;_xlfn.TEXTJOIN(", ",FALSE,TEXT(_xlfn._xlws.FILTER(OFFSET($D$8:$Q$8,0,SearchDay-1,,15-SearchDay),(OFFSET(D220:Q220,0,SearchDay-1,,15-SearchDay)&gt;-1)*(OFFSET(D220:Q220,0,SearchDay-1,,15-SearchDay)&lt;=ValidC)),"ДД/ММ")),"")</f>
        <v/>
      </c>
      <c r="W220" t="str">
        <f t="shared" si="3"/>
        <v>СЦ КировQR-поставка</v>
      </c>
      <c r="Y220" s="10"/>
      <c r="Z220" s="10"/>
      <c r="AA220" s="10"/>
      <c r="AB220" s="10"/>
    </row>
    <row r="221" spans="2:28" x14ac:dyDescent="0.45">
      <c r="B221" s="12" t="s">
        <v>59</v>
      </c>
      <c r="C221" s="12" t="s">
        <v>109</v>
      </c>
      <c r="D221" s="35">
        <v>-1</v>
      </c>
      <c r="E221" s="35">
        <v>-1</v>
      </c>
      <c r="F221" s="35">
        <v>-1</v>
      </c>
      <c r="G221" s="35">
        <v>-1</v>
      </c>
      <c r="H221" s="35">
        <v>-1</v>
      </c>
      <c r="I221" s="35">
        <v>-1</v>
      </c>
      <c r="J221" s="35">
        <v>-1</v>
      </c>
      <c r="K221" s="35">
        <v>-1</v>
      </c>
      <c r="L221" s="35">
        <v>-1</v>
      </c>
      <c r="M221" s="35">
        <v>-1</v>
      </c>
      <c r="N221" s="35">
        <v>-1</v>
      </c>
      <c r="O221" s="35">
        <v>-1</v>
      </c>
      <c r="P221" s="35">
        <v>-1</v>
      </c>
      <c r="Q221" s="35">
        <v>-1</v>
      </c>
      <c r="S221" s="5" t="str">
        <f>IF(_xlfn.XLOOKUP(StatTbl[[#This Row],[Join]],TargetSlots[Join],TargetSlots[Join],"Не найдено")&lt;&gt;"Не найдено","Ищем","Не ищем")</f>
        <v>Не ищем</v>
      </c>
      <c r="T221" s="4" t="str">
        <f ca="1">IF(COUNTIFS(OFFSET(D221:$Q221,0,SearchDay-1,,15-SearchDay),"&lt;="&amp; ValidC,OFFSET(D221:$Q221,0,SearchDay-1,,15-SearchDay),"&gt;-1")&gt;0,"Есть слот!","Ничего")</f>
        <v>Ничего</v>
      </c>
      <c r="U221">
        <f ca="1">IF(S221="Ищем",IF(StatTbl[[#This Row],[Доступность]]="Есть слот!",COUNTIFS(OFFSET(D221:$Q221,0,SearchDay-1),"&lt;="&amp; ValidC,OFFSET(D221:$Q221,0,SearchDay-1),"&gt;-1"),0),0)</f>
        <v>0</v>
      </c>
      <c r="V221" t="str" cm="1">
        <f t="array" aca="1" ref="V221" ca="1">IF(StatTbl[[#This Row],[Кол-во слотов]]&gt;0, B221&amp;" "&amp;C221&amp;" "&amp;_xlfn.TEXTJOIN(", ",FALSE,TEXT(_xlfn._xlws.FILTER(OFFSET($D$8:$Q$8,0,SearchDay-1,,15-SearchDay),(OFFSET(D221:Q221,0,SearchDay-1,,15-SearchDay)&gt;-1)*(OFFSET(D221:Q221,0,SearchDay-1,,15-SearchDay)&lt;=ValidC)),"ДД/ММ")),"")</f>
        <v/>
      </c>
      <c r="W221" t="str">
        <f t="shared" si="3"/>
        <v>СЦ КрыловскаяКороба</v>
      </c>
      <c r="Y221" s="10"/>
      <c r="Z221" s="10"/>
      <c r="AA221" s="10"/>
      <c r="AB221" s="10"/>
    </row>
    <row r="222" spans="2:28" x14ac:dyDescent="0.45">
      <c r="B222" s="12" t="s">
        <v>59</v>
      </c>
      <c r="C222" s="12" t="s">
        <v>110</v>
      </c>
      <c r="D222" s="35">
        <v>5</v>
      </c>
      <c r="E222" s="35">
        <v>20</v>
      </c>
      <c r="F222" s="35">
        <v>20</v>
      </c>
      <c r="G222" s="35">
        <v>20</v>
      </c>
      <c r="H222" s="35">
        <v>20</v>
      </c>
      <c r="I222" s="35">
        <v>20</v>
      </c>
      <c r="J222" s="35">
        <v>20</v>
      </c>
      <c r="K222" s="35">
        <v>20</v>
      </c>
      <c r="L222" s="35">
        <v>20</v>
      </c>
      <c r="M222" s="35">
        <v>20</v>
      </c>
      <c r="N222" s="35">
        <v>20</v>
      </c>
      <c r="O222" s="35">
        <v>20</v>
      </c>
      <c r="P222" s="35">
        <v>20</v>
      </c>
      <c r="Q222" s="35">
        <v>20</v>
      </c>
      <c r="S222" s="5" t="str">
        <f>IF(_xlfn.XLOOKUP(StatTbl[[#This Row],[Join]],TargetSlots[Join],TargetSlots[Join],"Не найдено")&lt;&gt;"Не найдено","Ищем","Не ищем")</f>
        <v>Не ищем</v>
      </c>
      <c r="T222" s="4" t="str">
        <f ca="1">IF(COUNTIFS(OFFSET(D222:$Q222,0,SearchDay-1,,15-SearchDay),"&lt;="&amp; ValidC,OFFSET(D222:$Q222,0,SearchDay-1,,15-SearchDay),"&gt;-1")&gt;0,"Есть слот!","Ничего")</f>
        <v>Ничего</v>
      </c>
      <c r="U222">
        <f ca="1">IF(S222="Ищем",IF(StatTbl[[#This Row],[Доступность]]="Есть слот!",COUNTIFS(OFFSET(D222:$Q222,0,SearchDay-1),"&lt;="&amp; ValidC,OFFSET(D222:$Q222,0,SearchDay-1),"&gt;-1"),0),0)</f>
        <v>0</v>
      </c>
      <c r="V222" t="str" cm="1">
        <f t="array" aca="1" ref="V222" ca="1">IF(StatTbl[[#This Row],[Кол-во слотов]]&gt;0, B222&amp;" "&amp;C222&amp;" "&amp;_xlfn.TEXTJOIN(", ",FALSE,TEXT(_xlfn._xlws.FILTER(OFFSET($D$8:$Q$8,0,SearchDay-1,,15-SearchDay),(OFFSET(D222:Q222,0,SearchDay-1,,15-SearchDay)&gt;-1)*(OFFSET(D222:Q222,0,SearchDay-1,,15-SearchDay)&lt;=ValidC)),"ДД/ММ")),"")</f>
        <v/>
      </c>
      <c r="W222" t="str">
        <f t="shared" si="3"/>
        <v>СЦ КрыловскаяМонопаллеты</v>
      </c>
      <c r="Y222" s="10"/>
      <c r="Z222" s="10"/>
      <c r="AA222" s="10"/>
      <c r="AB222" s="10"/>
    </row>
    <row r="223" spans="2:28" x14ac:dyDescent="0.45">
      <c r="B223" s="12" t="s">
        <v>59</v>
      </c>
      <c r="C223" s="12" t="s">
        <v>6</v>
      </c>
      <c r="D223" s="35">
        <v>-1</v>
      </c>
      <c r="E223" s="35">
        <v>-1</v>
      </c>
      <c r="F223" s="35">
        <v>-1</v>
      </c>
      <c r="G223" s="35">
        <v>-1</v>
      </c>
      <c r="H223" s="35">
        <v>-1</v>
      </c>
      <c r="I223" s="35">
        <v>-1</v>
      </c>
      <c r="J223" s="35">
        <v>-1</v>
      </c>
      <c r="K223" s="35">
        <v>-1</v>
      </c>
      <c r="L223" s="35">
        <v>-1</v>
      </c>
      <c r="M223" s="35">
        <v>-1</v>
      </c>
      <c r="N223" s="35">
        <v>-1</v>
      </c>
      <c r="O223" s="35">
        <v>-1</v>
      </c>
      <c r="P223" s="35">
        <v>-1</v>
      </c>
      <c r="Q223" s="35">
        <v>-1</v>
      </c>
      <c r="S223" s="5" t="str">
        <f>IF(_xlfn.XLOOKUP(StatTbl[[#This Row],[Join]],TargetSlots[Join],TargetSlots[Join],"Не найдено")&lt;&gt;"Не найдено","Ищем","Не ищем")</f>
        <v>Не ищем</v>
      </c>
      <c r="T223" s="4" t="str">
        <f ca="1">IF(COUNTIFS(OFFSET(D223:$Q223,0,SearchDay-1,,15-SearchDay),"&lt;="&amp; ValidC,OFFSET(D223:$Q223,0,SearchDay-1,,15-SearchDay),"&gt;-1")&gt;0,"Есть слот!","Ничего")</f>
        <v>Ничего</v>
      </c>
      <c r="U223">
        <f ca="1">IF(S223="Ищем",IF(StatTbl[[#This Row],[Доступность]]="Есть слот!",COUNTIFS(OFFSET(D223:$Q223,0,SearchDay-1),"&lt;="&amp; ValidC,OFFSET(D223:$Q223,0,SearchDay-1),"&gt;-1"),0),0)</f>
        <v>0</v>
      </c>
      <c r="V223" t="str" cm="1">
        <f t="array" aca="1" ref="V223" ca="1">IF(StatTbl[[#This Row],[Кол-во слотов]]&gt;0, B223&amp;" "&amp;C223&amp;" "&amp;_xlfn.TEXTJOIN(", ",FALSE,TEXT(_xlfn._xlws.FILTER(OFFSET($D$8:$Q$8,0,SearchDay-1,,15-SearchDay),(OFFSET(D223:Q223,0,SearchDay-1,,15-SearchDay)&gt;-1)*(OFFSET(D223:Q223,0,SearchDay-1,,15-SearchDay)&lt;=ValidC)),"ДД/ММ")),"")</f>
        <v/>
      </c>
      <c r="W223" t="str">
        <f t="shared" si="3"/>
        <v>СЦ КрыловскаяСуперсейф</v>
      </c>
      <c r="Y223" s="10"/>
      <c r="Z223" s="10"/>
      <c r="AA223" s="10"/>
      <c r="AB223" s="10"/>
    </row>
    <row r="224" spans="2:28" x14ac:dyDescent="0.45">
      <c r="B224" s="12" t="s">
        <v>59</v>
      </c>
      <c r="C224" s="12" t="s">
        <v>111</v>
      </c>
      <c r="D224" s="35">
        <v>-1</v>
      </c>
      <c r="E224" s="35">
        <v>-1</v>
      </c>
      <c r="F224" s="35">
        <v>-1</v>
      </c>
      <c r="G224" s="35">
        <v>-1</v>
      </c>
      <c r="H224" s="35">
        <v>-1</v>
      </c>
      <c r="I224" s="35">
        <v>-1</v>
      </c>
      <c r="J224" s="35">
        <v>-1</v>
      </c>
      <c r="K224" s="35">
        <v>-1</v>
      </c>
      <c r="L224" s="35">
        <v>-1</v>
      </c>
      <c r="M224" s="35">
        <v>-1</v>
      </c>
      <c r="N224" s="35">
        <v>-1</v>
      </c>
      <c r="O224" s="35">
        <v>-1</v>
      </c>
      <c r="P224" s="35">
        <v>-1</v>
      </c>
      <c r="Q224" s="35">
        <v>-1</v>
      </c>
      <c r="S224" s="5" t="str">
        <f>IF(_xlfn.XLOOKUP(StatTbl[[#This Row],[Join]],TargetSlots[Join],TargetSlots[Join],"Не найдено")&lt;&gt;"Не найдено","Ищем","Не ищем")</f>
        <v>Не ищем</v>
      </c>
      <c r="T224" s="4" t="str">
        <f ca="1">IF(COUNTIFS(OFFSET(D224:$Q224,0,SearchDay-1,,15-SearchDay),"&lt;="&amp; ValidC,OFFSET(D224:$Q224,0,SearchDay-1,,15-SearchDay),"&gt;-1")&gt;0,"Есть слот!","Ничего")</f>
        <v>Ничего</v>
      </c>
      <c r="U224">
        <f ca="1">IF(S224="Ищем",IF(StatTbl[[#This Row],[Доступность]]="Есть слот!",COUNTIFS(OFFSET(D224:$Q224,0,SearchDay-1),"&lt;="&amp; ValidC,OFFSET(D224:$Q224,0,SearchDay-1),"&gt;-1"),0),0)</f>
        <v>0</v>
      </c>
      <c r="V224" t="str" cm="1">
        <f t="array" aca="1" ref="V224" ca="1">IF(StatTbl[[#This Row],[Кол-во слотов]]&gt;0, B224&amp;" "&amp;C224&amp;" "&amp;_xlfn.TEXTJOIN(", ",FALSE,TEXT(_xlfn._xlws.FILTER(OFFSET($D$8:$Q$8,0,SearchDay-1,,15-SearchDay),(OFFSET(D224:Q224,0,SearchDay-1,,15-SearchDay)&gt;-1)*(OFFSET(D224:Q224,0,SearchDay-1,,15-SearchDay)&lt;=ValidC)),"ДД/ММ")),"")</f>
        <v/>
      </c>
      <c r="W224" t="str">
        <f t="shared" si="3"/>
        <v>СЦ КрыловскаяQR-поставка</v>
      </c>
      <c r="Y224" s="10"/>
      <c r="Z224" s="10"/>
      <c r="AA224" s="10"/>
      <c r="AB224" s="10"/>
    </row>
    <row r="225" spans="2:28" x14ac:dyDescent="0.45">
      <c r="B225" s="12" t="s">
        <v>60</v>
      </c>
      <c r="C225" s="12" t="s">
        <v>109</v>
      </c>
      <c r="D225" s="35">
        <v>-1</v>
      </c>
      <c r="E225" s="35">
        <v>-1</v>
      </c>
      <c r="F225" s="35">
        <v>-1</v>
      </c>
      <c r="G225" s="35">
        <v>-1</v>
      </c>
      <c r="H225" s="35">
        <v>-1</v>
      </c>
      <c r="I225" s="35">
        <v>-1</v>
      </c>
      <c r="J225" s="35">
        <v>-1</v>
      </c>
      <c r="K225" s="35">
        <v>-1</v>
      </c>
      <c r="L225" s="35">
        <v>-1</v>
      </c>
      <c r="M225" s="35">
        <v>-1</v>
      </c>
      <c r="N225" s="35">
        <v>-1</v>
      </c>
      <c r="O225" s="35">
        <v>-1</v>
      </c>
      <c r="P225" s="35">
        <v>-1</v>
      </c>
      <c r="Q225" s="35">
        <v>-1</v>
      </c>
      <c r="S225" s="5" t="str">
        <f>IF(_xlfn.XLOOKUP(StatTbl[[#This Row],[Join]],TargetSlots[Join],TargetSlots[Join],"Не найдено")&lt;&gt;"Не найдено","Ищем","Не ищем")</f>
        <v>Не ищем</v>
      </c>
      <c r="T225" s="4" t="str">
        <f ca="1">IF(COUNTIFS(OFFSET(D225:$Q225,0,SearchDay-1,,15-SearchDay),"&lt;="&amp; ValidC,OFFSET(D225:$Q225,0,SearchDay-1,,15-SearchDay),"&gt;-1")&gt;0,"Есть слот!","Ничего")</f>
        <v>Ничего</v>
      </c>
      <c r="U225">
        <f ca="1">IF(S225="Ищем",IF(StatTbl[[#This Row],[Доступность]]="Есть слот!",COUNTIFS(OFFSET(D225:$Q225,0,SearchDay-1),"&lt;="&amp; ValidC,OFFSET(D225:$Q225,0,SearchDay-1),"&gt;-1"),0),0)</f>
        <v>0</v>
      </c>
      <c r="V225" t="str" cm="1">
        <f t="array" aca="1" ref="V225" ca="1">IF(StatTbl[[#This Row],[Кол-во слотов]]&gt;0, B225&amp;" "&amp;C225&amp;" "&amp;_xlfn.TEXTJOIN(", ",FALSE,TEXT(_xlfn._xlws.FILTER(OFFSET($D$8:$Q$8,0,SearchDay-1,,15-SearchDay),(OFFSET(D225:Q225,0,SearchDay-1,,15-SearchDay)&gt;-1)*(OFFSET(D225:Q225,0,SearchDay-1,,15-SearchDay)&lt;=ValidC)),"ДД/ММ")),"")</f>
        <v/>
      </c>
      <c r="W225" t="str">
        <f t="shared" si="3"/>
        <v>СЦ КузнецкКороба</v>
      </c>
      <c r="Y225" s="10"/>
      <c r="Z225" s="10"/>
      <c r="AA225" s="10"/>
      <c r="AB225" s="10"/>
    </row>
    <row r="226" spans="2:28" x14ac:dyDescent="0.45">
      <c r="B226" s="12" t="s">
        <v>60</v>
      </c>
      <c r="C226" s="12" t="s">
        <v>110</v>
      </c>
      <c r="D226" s="35">
        <v>0</v>
      </c>
      <c r="E226" s="35">
        <v>0</v>
      </c>
      <c r="F226" s="35">
        <v>0</v>
      </c>
      <c r="G226" s="35">
        <v>0</v>
      </c>
      <c r="H226" s="35">
        <v>20</v>
      </c>
      <c r="I226" s="35">
        <v>0</v>
      </c>
      <c r="J226" s="35">
        <v>20</v>
      </c>
      <c r="K226" s="35">
        <v>20</v>
      </c>
      <c r="L226" s="35">
        <v>20</v>
      </c>
      <c r="M226" s="35">
        <v>20</v>
      </c>
      <c r="N226" s="35">
        <v>20</v>
      </c>
      <c r="O226" s="35">
        <v>20</v>
      </c>
      <c r="P226" s="35">
        <v>20</v>
      </c>
      <c r="Q226" s="35">
        <v>20</v>
      </c>
      <c r="S226" s="5" t="str">
        <f>IF(_xlfn.XLOOKUP(StatTbl[[#This Row],[Join]],TargetSlots[Join],TargetSlots[Join],"Не найдено")&lt;&gt;"Не найдено","Ищем","Не ищем")</f>
        <v>Не ищем</v>
      </c>
      <c r="T226" s="4" t="str">
        <f ca="1">IF(COUNTIFS(OFFSET(D226:$Q226,0,SearchDay-1,,15-SearchDay),"&lt;="&amp; ValidC,OFFSET(D226:$Q226,0,SearchDay-1,,15-SearchDay),"&gt;-1")&gt;0,"Есть слот!","Ничего")</f>
        <v>Есть слот!</v>
      </c>
      <c r="U226">
        <f ca="1">IF(S226="Ищем",IF(StatTbl[[#This Row],[Доступность]]="Есть слот!",COUNTIFS(OFFSET(D226:$Q226,0,SearchDay-1),"&lt;="&amp; ValidC,OFFSET(D226:$Q226,0,SearchDay-1),"&gt;-1"),0),0)</f>
        <v>0</v>
      </c>
      <c r="V226" t="str" cm="1">
        <f t="array" aca="1" ref="V226" ca="1">IF(StatTbl[[#This Row],[Кол-во слотов]]&gt;0, B226&amp;" "&amp;C226&amp;" "&amp;_xlfn.TEXTJOIN(", ",FALSE,TEXT(_xlfn._xlws.FILTER(OFFSET($D$8:$Q$8,0,SearchDay-1,,15-SearchDay),(OFFSET(D226:Q226,0,SearchDay-1,,15-SearchDay)&gt;-1)*(OFFSET(D226:Q226,0,SearchDay-1,,15-SearchDay)&lt;=ValidC)),"ДД/ММ")),"")</f>
        <v/>
      </c>
      <c r="W226" t="str">
        <f t="shared" si="3"/>
        <v>СЦ КузнецкМонопаллеты</v>
      </c>
      <c r="Y226" s="10"/>
      <c r="Z226" s="10"/>
      <c r="AA226" s="10"/>
      <c r="AB226" s="10"/>
    </row>
    <row r="227" spans="2:28" x14ac:dyDescent="0.45">
      <c r="B227" s="12" t="s">
        <v>60</v>
      </c>
      <c r="C227" s="12" t="s">
        <v>6</v>
      </c>
      <c r="D227" s="35">
        <v>-1</v>
      </c>
      <c r="E227" s="35">
        <v>-1</v>
      </c>
      <c r="F227" s="35">
        <v>-1</v>
      </c>
      <c r="G227" s="35">
        <v>-1</v>
      </c>
      <c r="H227" s="35">
        <v>-1</v>
      </c>
      <c r="I227" s="35">
        <v>-1</v>
      </c>
      <c r="J227" s="35">
        <v>-1</v>
      </c>
      <c r="K227" s="35">
        <v>-1</v>
      </c>
      <c r="L227" s="35">
        <v>-1</v>
      </c>
      <c r="M227" s="35">
        <v>-1</v>
      </c>
      <c r="N227" s="35">
        <v>-1</v>
      </c>
      <c r="O227" s="35">
        <v>-1</v>
      </c>
      <c r="P227" s="35">
        <v>-1</v>
      </c>
      <c r="Q227" s="35">
        <v>-1</v>
      </c>
      <c r="S227" s="5" t="str">
        <f>IF(_xlfn.XLOOKUP(StatTbl[[#This Row],[Join]],TargetSlots[Join],TargetSlots[Join],"Не найдено")&lt;&gt;"Не найдено","Ищем","Не ищем")</f>
        <v>Не ищем</v>
      </c>
      <c r="T227" s="4" t="str">
        <f ca="1">IF(COUNTIFS(OFFSET(D227:$Q227,0,SearchDay-1,,15-SearchDay),"&lt;="&amp; ValidC,OFFSET(D227:$Q227,0,SearchDay-1,,15-SearchDay),"&gt;-1")&gt;0,"Есть слот!","Ничего")</f>
        <v>Ничего</v>
      </c>
      <c r="U227">
        <f ca="1">IF(S227="Ищем",IF(StatTbl[[#This Row],[Доступность]]="Есть слот!",COUNTIFS(OFFSET(D227:$Q227,0,SearchDay-1),"&lt;="&amp; ValidC,OFFSET(D227:$Q227,0,SearchDay-1),"&gt;-1"),0),0)</f>
        <v>0</v>
      </c>
      <c r="V227" t="str" cm="1">
        <f t="array" aca="1" ref="V227" ca="1">IF(StatTbl[[#This Row],[Кол-во слотов]]&gt;0, B227&amp;" "&amp;C227&amp;" "&amp;_xlfn.TEXTJOIN(", ",FALSE,TEXT(_xlfn._xlws.FILTER(OFFSET($D$8:$Q$8,0,SearchDay-1,,15-SearchDay),(OFFSET(D227:Q227,0,SearchDay-1,,15-SearchDay)&gt;-1)*(OFFSET(D227:Q227,0,SearchDay-1,,15-SearchDay)&lt;=ValidC)),"ДД/ММ")),"")</f>
        <v/>
      </c>
      <c r="W227" t="str">
        <f t="shared" si="3"/>
        <v>СЦ КузнецкСуперсейф</v>
      </c>
      <c r="Y227" s="10"/>
      <c r="Z227" s="10"/>
      <c r="AA227" s="10"/>
      <c r="AB227" s="10"/>
    </row>
    <row r="228" spans="2:28" x14ac:dyDescent="0.45">
      <c r="B228" s="12" t="s">
        <v>60</v>
      </c>
      <c r="C228" s="12" t="s">
        <v>111</v>
      </c>
      <c r="D228" s="35">
        <v>-1</v>
      </c>
      <c r="E228" s="35">
        <v>-1</v>
      </c>
      <c r="F228" s="35">
        <v>-1</v>
      </c>
      <c r="G228" s="35">
        <v>-1</v>
      </c>
      <c r="H228" s="35">
        <v>-1</v>
      </c>
      <c r="I228" s="35">
        <v>-1</v>
      </c>
      <c r="J228" s="35">
        <v>-1</v>
      </c>
      <c r="K228" s="35">
        <v>-1</v>
      </c>
      <c r="L228" s="35">
        <v>-1</v>
      </c>
      <c r="M228" s="35">
        <v>-1</v>
      </c>
      <c r="N228" s="35">
        <v>-1</v>
      </c>
      <c r="O228" s="35">
        <v>-1</v>
      </c>
      <c r="P228" s="35">
        <v>-1</v>
      </c>
      <c r="Q228" s="35">
        <v>-1</v>
      </c>
      <c r="S228" s="5" t="str">
        <f>IF(_xlfn.XLOOKUP(StatTbl[[#This Row],[Join]],TargetSlots[Join],TargetSlots[Join],"Не найдено")&lt;&gt;"Не найдено","Ищем","Не ищем")</f>
        <v>Не ищем</v>
      </c>
      <c r="T228" s="4" t="str">
        <f ca="1">IF(COUNTIFS(OFFSET(D228:$Q228,0,SearchDay-1,,15-SearchDay),"&lt;="&amp; ValidC,OFFSET(D228:$Q228,0,SearchDay-1,,15-SearchDay),"&gt;-1")&gt;0,"Есть слот!","Ничего")</f>
        <v>Ничего</v>
      </c>
      <c r="U228">
        <f ca="1">IF(S228="Ищем",IF(StatTbl[[#This Row],[Доступность]]="Есть слот!",COUNTIFS(OFFSET(D228:$Q228,0,SearchDay-1),"&lt;="&amp; ValidC,OFFSET(D228:$Q228,0,SearchDay-1),"&gt;-1"),0),0)</f>
        <v>0</v>
      </c>
      <c r="V228" t="str" cm="1">
        <f t="array" aca="1" ref="V228" ca="1">IF(StatTbl[[#This Row],[Кол-во слотов]]&gt;0, B228&amp;" "&amp;C228&amp;" "&amp;_xlfn.TEXTJOIN(", ",FALSE,TEXT(_xlfn._xlws.FILTER(OFFSET($D$8:$Q$8,0,SearchDay-1,,15-SearchDay),(OFFSET(D228:Q228,0,SearchDay-1,,15-SearchDay)&gt;-1)*(OFFSET(D228:Q228,0,SearchDay-1,,15-SearchDay)&lt;=ValidC)),"ДД/ММ")),"")</f>
        <v/>
      </c>
      <c r="W228" t="str">
        <f t="shared" si="3"/>
        <v>СЦ КузнецкQR-поставка</v>
      </c>
      <c r="Y228" s="10"/>
      <c r="Z228" s="10"/>
      <c r="AA228" s="10"/>
      <c r="AB228" s="10"/>
    </row>
    <row r="229" spans="2:28" x14ac:dyDescent="0.45">
      <c r="B229" s="12" t="s">
        <v>61</v>
      </c>
      <c r="C229" s="12" t="s">
        <v>109</v>
      </c>
      <c r="D229" s="35">
        <v>-1</v>
      </c>
      <c r="E229" s="35">
        <v>-1</v>
      </c>
      <c r="F229" s="35">
        <v>2</v>
      </c>
      <c r="G229" s="35">
        <v>-1</v>
      </c>
      <c r="H229" s="35">
        <v>-1</v>
      </c>
      <c r="I229" s="35">
        <v>-1</v>
      </c>
      <c r="J229" s="35">
        <v>-1</v>
      </c>
      <c r="K229" s="35">
        <v>-1</v>
      </c>
      <c r="L229" s="35">
        <v>-1</v>
      </c>
      <c r="M229" s="35">
        <v>-1</v>
      </c>
      <c r="N229" s="35">
        <v>-1</v>
      </c>
      <c r="O229" s="35">
        <v>-1</v>
      </c>
      <c r="P229" s="35">
        <v>-1</v>
      </c>
      <c r="Q229" s="35">
        <v>-1</v>
      </c>
      <c r="S229" s="5" t="str">
        <f>IF(_xlfn.XLOOKUP(StatTbl[[#This Row],[Join]],TargetSlots[Join],TargetSlots[Join],"Не найдено")&lt;&gt;"Не найдено","Ищем","Не ищем")</f>
        <v>Не ищем</v>
      </c>
      <c r="T229" s="4" t="str">
        <f ca="1">IF(COUNTIFS(OFFSET(D229:$Q229,0,SearchDay-1,,15-SearchDay),"&lt;="&amp; ValidC,OFFSET(D229:$Q229,0,SearchDay-1,,15-SearchDay),"&gt;-1")&gt;0,"Есть слот!","Ничего")</f>
        <v>Есть слот!</v>
      </c>
      <c r="U229">
        <f ca="1">IF(S229="Ищем",IF(StatTbl[[#This Row],[Доступность]]="Есть слот!",COUNTIFS(OFFSET(D229:$Q229,0,SearchDay-1),"&lt;="&amp; ValidC,OFFSET(D229:$Q229,0,SearchDay-1),"&gt;-1"),0),0)</f>
        <v>0</v>
      </c>
      <c r="V229" t="str" cm="1">
        <f t="array" aca="1" ref="V229" ca="1">IF(StatTbl[[#This Row],[Кол-во слотов]]&gt;0, B229&amp;" "&amp;C229&amp;" "&amp;_xlfn.TEXTJOIN(", ",FALSE,TEXT(_xlfn._xlws.FILTER(OFFSET($D$8:$Q$8,0,SearchDay-1,,15-SearchDay),(OFFSET(D229:Q229,0,SearchDay-1,,15-SearchDay)&gt;-1)*(OFFSET(D229:Q229,0,SearchDay-1,,15-SearchDay)&lt;=ValidC)),"ДД/ММ")),"")</f>
        <v/>
      </c>
      <c r="W229" t="str">
        <f t="shared" si="3"/>
        <v>СЦ КурскКороба</v>
      </c>
      <c r="Y229" s="10"/>
      <c r="Z229" s="10"/>
      <c r="AA229" s="10"/>
      <c r="AB229" s="10"/>
    </row>
    <row r="230" spans="2:28" x14ac:dyDescent="0.45">
      <c r="B230" s="12" t="s">
        <v>61</v>
      </c>
      <c r="C230" s="12" t="s">
        <v>110</v>
      </c>
      <c r="D230" s="35">
        <v>-1</v>
      </c>
      <c r="E230" s="35">
        <v>-1</v>
      </c>
      <c r="F230" s="35">
        <v>-1</v>
      </c>
      <c r="G230" s="35">
        <v>-1</v>
      </c>
      <c r="H230" s="35">
        <v>-1</v>
      </c>
      <c r="I230" s="35">
        <v>-1</v>
      </c>
      <c r="J230" s="35">
        <v>-1</v>
      </c>
      <c r="K230" s="35">
        <v>-1</v>
      </c>
      <c r="L230" s="35">
        <v>-1</v>
      </c>
      <c r="M230" s="35">
        <v>-1</v>
      </c>
      <c r="N230" s="35">
        <v>-1</v>
      </c>
      <c r="O230" s="35">
        <v>-1</v>
      </c>
      <c r="P230" s="35">
        <v>-1</v>
      </c>
      <c r="Q230" s="35">
        <v>-1</v>
      </c>
      <c r="S230" s="5" t="str">
        <f>IF(_xlfn.XLOOKUP(StatTbl[[#This Row],[Join]],TargetSlots[Join],TargetSlots[Join],"Не найдено")&lt;&gt;"Не найдено","Ищем","Не ищем")</f>
        <v>Не ищем</v>
      </c>
      <c r="T230" s="4" t="str">
        <f ca="1">IF(COUNTIFS(OFFSET(D230:$Q230,0,SearchDay-1,,15-SearchDay),"&lt;="&amp; ValidC,OFFSET(D230:$Q230,0,SearchDay-1,,15-SearchDay),"&gt;-1")&gt;0,"Есть слот!","Ничего")</f>
        <v>Ничего</v>
      </c>
      <c r="U230">
        <f ca="1">IF(S230="Ищем",IF(StatTbl[[#This Row],[Доступность]]="Есть слот!",COUNTIFS(OFFSET(D230:$Q230,0,SearchDay-1),"&lt;="&amp; ValidC,OFFSET(D230:$Q230,0,SearchDay-1),"&gt;-1"),0),0)</f>
        <v>0</v>
      </c>
      <c r="V230" t="str" cm="1">
        <f t="array" aca="1" ref="V230" ca="1">IF(StatTbl[[#This Row],[Кол-во слотов]]&gt;0, B230&amp;" "&amp;C230&amp;" "&amp;_xlfn.TEXTJOIN(", ",FALSE,TEXT(_xlfn._xlws.FILTER(OFFSET($D$8:$Q$8,0,SearchDay-1,,15-SearchDay),(OFFSET(D230:Q230,0,SearchDay-1,,15-SearchDay)&gt;-1)*(OFFSET(D230:Q230,0,SearchDay-1,,15-SearchDay)&lt;=ValidC)),"ДД/ММ")),"")</f>
        <v/>
      </c>
      <c r="W230" t="str">
        <f t="shared" si="3"/>
        <v>СЦ КурскМонопаллеты</v>
      </c>
      <c r="Y230" s="10"/>
      <c r="Z230" s="10"/>
      <c r="AA230" s="10"/>
      <c r="AB230" s="10"/>
    </row>
    <row r="231" spans="2:28" x14ac:dyDescent="0.45">
      <c r="B231" s="12" t="s">
        <v>61</v>
      </c>
      <c r="C231" s="12" t="s">
        <v>6</v>
      </c>
      <c r="D231" s="35">
        <v>-1</v>
      </c>
      <c r="E231" s="35">
        <v>-1</v>
      </c>
      <c r="F231" s="35">
        <v>-1</v>
      </c>
      <c r="G231" s="35">
        <v>-1</v>
      </c>
      <c r="H231" s="35">
        <v>-1</v>
      </c>
      <c r="I231" s="35">
        <v>-1</v>
      </c>
      <c r="J231" s="35">
        <v>-1</v>
      </c>
      <c r="K231" s="35">
        <v>-1</v>
      </c>
      <c r="L231" s="35">
        <v>-1</v>
      </c>
      <c r="M231" s="35">
        <v>-1</v>
      </c>
      <c r="N231" s="35">
        <v>-1</v>
      </c>
      <c r="O231" s="35">
        <v>-1</v>
      </c>
      <c r="P231" s="35">
        <v>-1</v>
      </c>
      <c r="Q231" s="35">
        <v>-1</v>
      </c>
      <c r="S231" s="5" t="str">
        <f>IF(_xlfn.XLOOKUP(StatTbl[[#This Row],[Join]],TargetSlots[Join],TargetSlots[Join],"Не найдено")&lt;&gt;"Не найдено","Ищем","Не ищем")</f>
        <v>Не ищем</v>
      </c>
      <c r="T231" s="4" t="str">
        <f ca="1">IF(COUNTIFS(OFFSET(D231:$Q231,0,SearchDay-1,,15-SearchDay),"&lt;="&amp; ValidC,OFFSET(D231:$Q231,0,SearchDay-1,,15-SearchDay),"&gt;-1")&gt;0,"Есть слот!","Ничего")</f>
        <v>Ничего</v>
      </c>
      <c r="U231">
        <f ca="1">IF(S231="Ищем",IF(StatTbl[[#This Row],[Доступность]]="Есть слот!",COUNTIFS(OFFSET(D231:$Q231,0,SearchDay-1),"&lt;="&amp; ValidC,OFFSET(D231:$Q231,0,SearchDay-1),"&gt;-1"),0),0)</f>
        <v>0</v>
      </c>
      <c r="V231" t="str" cm="1">
        <f t="array" aca="1" ref="V231" ca="1">IF(StatTbl[[#This Row],[Кол-во слотов]]&gt;0, B231&amp;" "&amp;C231&amp;" "&amp;_xlfn.TEXTJOIN(", ",FALSE,TEXT(_xlfn._xlws.FILTER(OFFSET($D$8:$Q$8,0,SearchDay-1,,15-SearchDay),(OFFSET(D231:Q231,0,SearchDay-1,,15-SearchDay)&gt;-1)*(OFFSET(D231:Q231,0,SearchDay-1,,15-SearchDay)&lt;=ValidC)),"ДД/ММ")),"")</f>
        <v/>
      </c>
      <c r="W231" t="str">
        <f t="shared" si="3"/>
        <v>СЦ КурскСуперсейф</v>
      </c>
      <c r="Y231" s="10"/>
      <c r="Z231" s="10"/>
      <c r="AA231" s="10"/>
      <c r="AB231" s="10"/>
    </row>
    <row r="232" spans="2:28" x14ac:dyDescent="0.45">
      <c r="B232" s="12" t="s">
        <v>61</v>
      </c>
      <c r="C232" s="12" t="s">
        <v>111</v>
      </c>
      <c r="D232" s="35">
        <v>-1</v>
      </c>
      <c r="E232" s="35">
        <v>-1</v>
      </c>
      <c r="F232" s="35">
        <v>-1</v>
      </c>
      <c r="G232" s="35">
        <v>-1</v>
      </c>
      <c r="H232" s="35">
        <v>-1</v>
      </c>
      <c r="I232" s="35">
        <v>-1</v>
      </c>
      <c r="J232" s="35">
        <v>-1</v>
      </c>
      <c r="K232" s="35">
        <v>-1</v>
      </c>
      <c r="L232" s="35">
        <v>-1</v>
      </c>
      <c r="M232" s="35">
        <v>-1</v>
      </c>
      <c r="N232" s="35">
        <v>-1</v>
      </c>
      <c r="O232" s="35">
        <v>-1</v>
      </c>
      <c r="P232" s="35">
        <v>-1</v>
      </c>
      <c r="Q232" s="35">
        <v>-1</v>
      </c>
      <c r="S232" s="5" t="str">
        <f>IF(_xlfn.XLOOKUP(StatTbl[[#This Row],[Join]],TargetSlots[Join],TargetSlots[Join],"Не найдено")&lt;&gt;"Не найдено","Ищем","Не ищем")</f>
        <v>Не ищем</v>
      </c>
      <c r="T232" s="4" t="str">
        <f ca="1">IF(COUNTIFS(OFFSET(D232:$Q232,0,SearchDay-1,,15-SearchDay),"&lt;="&amp; ValidC,OFFSET(D232:$Q232,0,SearchDay-1,,15-SearchDay),"&gt;-1")&gt;0,"Есть слот!","Ничего")</f>
        <v>Ничего</v>
      </c>
      <c r="U232">
        <f ca="1">IF(S232="Ищем",IF(StatTbl[[#This Row],[Доступность]]="Есть слот!",COUNTIFS(OFFSET(D232:$Q232,0,SearchDay-1),"&lt;="&amp; ValidC,OFFSET(D232:$Q232,0,SearchDay-1),"&gt;-1"),0),0)</f>
        <v>0</v>
      </c>
      <c r="V232" t="str" cm="1">
        <f t="array" aca="1" ref="V232" ca="1">IF(StatTbl[[#This Row],[Кол-во слотов]]&gt;0, B232&amp;" "&amp;C232&amp;" "&amp;_xlfn.TEXTJOIN(", ",FALSE,TEXT(_xlfn._xlws.FILTER(OFFSET($D$8:$Q$8,0,SearchDay-1,,15-SearchDay),(OFFSET(D232:Q232,0,SearchDay-1,,15-SearchDay)&gt;-1)*(OFFSET(D232:Q232,0,SearchDay-1,,15-SearchDay)&lt;=ValidC)),"ДД/ММ")),"")</f>
        <v/>
      </c>
      <c r="W232" t="str">
        <f t="shared" si="3"/>
        <v>СЦ КурскQR-поставка</v>
      </c>
      <c r="Y232" s="10"/>
      <c r="Z232" s="10"/>
      <c r="AA232" s="10"/>
      <c r="AB232" s="10"/>
    </row>
    <row r="233" spans="2:28" x14ac:dyDescent="0.45">
      <c r="B233" s="12" t="s">
        <v>62</v>
      </c>
      <c r="C233" s="12" t="s">
        <v>109</v>
      </c>
      <c r="D233" s="35">
        <v>20</v>
      </c>
      <c r="E233" s="35">
        <v>20</v>
      </c>
      <c r="F233" s="35">
        <v>20</v>
      </c>
      <c r="G233" s="35">
        <v>20</v>
      </c>
      <c r="H233" s="35">
        <v>20</v>
      </c>
      <c r="I233" s="35">
        <v>20</v>
      </c>
      <c r="J233" s="35">
        <v>20</v>
      </c>
      <c r="K233" s="35">
        <v>20</v>
      </c>
      <c r="L233" s="35">
        <v>20</v>
      </c>
      <c r="M233" s="35">
        <v>20</v>
      </c>
      <c r="N233" s="35">
        <v>20</v>
      </c>
      <c r="O233" s="35">
        <v>20</v>
      </c>
      <c r="P233" s="35">
        <v>20</v>
      </c>
      <c r="Q233" s="35">
        <v>-1</v>
      </c>
      <c r="S233" s="5" t="str">
        <f>IF(_xlfn.XLOOKUP(StatTbl[[#This Row],[Join]],TargetSlots[Join],TargetSlots[Join],"Не найдено")&lt;&gt;"Не найдено","Ищем","Не ищем")</f>
        <v>Не ищем</v>
      </c>
      <c r="T233" s="4" t="str">
        <f ca="1">IF(COUNTIFS(OFFSET(D233:$Q233,0,SearchDay-1,,15-SearchDay),"&lt;="&amp; ValidC,OFFSET(D233:$Q233,0,SearchDay-1,,15-SearchDay),"&gt;-1")&gt;0,"Есть слот!","Ничего")</f>
        <v>Ничего</v>
      </c>
      <c r="U233">
        <f ca="1">IF(S233="Ищем",IF(StatTbl[[#This Row],[Доступность]]="Есть слот!",COUNTIFS(OFFSET(D233:$Q233,0,SearchDay-1),"&lt;="&amp; ValidC,OFFSET(D233:$Q233,0,SearchDay-1),"&gt;-1"),0),0)</f>
        <v>0</v>
      </c>
      <c r="V233" t="str" cm="1">
        <f t="array" aca="1" ref="V233" ca="1">IF(StatTbl[[#This Row],[Кол-во слотов]]&gt;0, B233&amp;" "&amp;C233&amp;" "&amp;_xlfn.TEXTJOIN(", ",FALSE,TEXT(_xlfn._xlws.FILTER(OFFSET($D$8:$Q$8,0,SearchDay-1,,15-SearchDay),(OFFSET(D233:Q233,0,SearchDay-1,,15-SearchDay)&gt;-1)*(OFFSET(D233:Q233,0,SearchDay-1,,15-SearchDay)&lt;=ValidC)),"ДД/ММ")),"")</f>
        <v/>
      </c>
      <c r="W233" t="str">
        <f t="shared" si="3"/>
        <v>СЦ ЛипецкКороба</v>
      </c>
      <c r="Y233" s="10"/>
      <c r="Z233" s="10"/>
      <c r="AA233" s="10"/>
      <c r="AB233" s="10"/>
    </row>
    <row r="234" spans="2:28" x14ac:dyDescent="0.45">
      <c r="B234" s="12" t="s">
        <v>62</v>
      </c>
      <c r="C234" s="12" t="s">
        <v>110</v>
      </c>
      <c r="D234" s="35">
        <v>-1</v>
      </c>
      <c r="E234" s="35">
        <v>-1</v>
      </c>
      <c r="F234" s="35">
        <v>-1</v>
      </c>
      <c r="G234" s="35">
        <v>-1</v>
      </c>
      <c r="H234" s="35">
        <v>-1</v>
      </c>
      <c r="I234" s="35">
        <v>-1</v>
      </c>
      <c r="J234" s="35">
        <v>-1</v>
      </c>
      <c r="K234" s="35">
        <v>-1</v>
      </c>
      <c r="L234" s="35">
        <v>-1</v>
      </c>
      <c r="M234" s="35">
        <v>-1</v>
      </c>
      <c r="N234" s="35">
        <v>-1</v>
      </c>
      <c r="O234" s="35">
        <v>-1</v>
      </c>
      <c r="P234" s="35">
        <v>-1</v>
      </c>
      <c r="Q234" s="35">
        <v>-1</v>
      </c>
      <c r="S234" s="5" t="str">
        <f>IF(_xlfn.XLOOKUP(StatTbl[[#This Row],[Join]],TargetSlots[Join],TargetSlots[Join],"Не найдено")&lt;&gt;"Не найдено","Ищем","Не ищем")</f>
        <v>Не ищем</v>
      </c>
      <c r="T234" s="4" t="str">
        <f ca="1">IF(COUNTIFS(OFFSET(D234:$Q234,0,SearchDay-1,,15-SearchDay),"&lt;="&amp; ValidC,OFFSET(D234:$Q234,0,SearchDay-1,,15-SearchDay),"&gt;-1")&gt;0,"Есть слот!","Ничего")</f>
        <v>Ничего</v>
      </c>
      <c r="U234">
        <f ca="1">IF(S234="Ищем",IF(StatTbl[[#This Row],[Доступность]]="Есть слот!",COUNTIFS(OFFSET(D234:$Q234,0,SearchDay-1),"&lt;="&amp; ValidC,OFFSET(D234:$Q234,0,SearchDay-1),"&gt;-1"),0),0)</f>
        <v>0</v>
      </c>
      <c r="V234" t="str" cm="1">
        <f t="array" aca="1" ref="V234" ca="1">IF(StatTbl[[#This Row],[Кол-во слотов]]&gt;0, B234&amp;" "&amp;C234&amp;" "&amp;_xlfn.TEXTJOIN(", ",FALSE,TEXT(_xlfn._xlws.FILTER(OFFSET($D$8:$Q$8,0,SearchDay-1,,15-SearchDay),(OFFSET(D234:Q234,0,SearchDay-1,,15-SearchDay)&gt;-1)*(OFFSET(D234:Q234,0,SearchDay-1,,15-SearchDay)&lt;=ValidC)),"ДД/ММ")),"")</f>
        <v/>
      </c>
      <c r="W234" t="str">
        <f t="shared" si="3"/>
        <v>СЦ ЛипецкМонопаллеты</v>
      </c>
      <c r="Y234" s="10"/>
      <c r="Z234" s="10"/>
      <c r="AA234" s="10"/>
      <c r="AB234" s="10"/>
    </row>
    <row r="235" spans="2:28" x14ac:dyDescent="0.45">
      <c r="B235" s="12" t="s">
        <v>62</v>
      </c>
      <c r="C235" s="12" t="s">
        <v>6</v>
      </c>
      <c r="D235" s="35">
        <v>-1</v>
      </c>
      <c r="E235" s="35">
        <v>-1</v>
      </c>
      <c r="F235" s="35">
        <v>-1</v>
      </c>
      <c r="G235" s="35">
        <v>-1</v>
      </c>
      <c r="H235" s="35">
        <v>-1</v>
      </c>
      <c r="I235" s="35">
        <v>-1</v>
      </c>
      <c r="J235" s="35">
        <v>-1</v>
      </c>
      <c r="K235" s="35">
        <v>-1</v>
      </c>
      <c r="L235" s="35">
        <v>-1</v>
      </c>
      <c r="M235" s="35">
        <v>-1</v>
      </c>
      <c r="N235" s="35">
        <v>-1</v>
      </c>
      <c r="O235" s="35">
        <v>-1</v>
      </c>
      <c r="P235" s="35">
        <v>-1</v>
      </c>
      <c r="Q235" s="35">
        <v>-1</v>
      </c>
      <c r="S235" s="5" t="str">
        <f>IF(_xlfn.XLOOKUP(StatTbl[[#This Row],[Join]],TargetSlots[Join],TargetSlots[Join],"Не найдено")&lt;&gt;"Не найдено","Ищем","Не ищем")</f>
        <v>Не ищем</v>
      </c>
      <c r="T235" s="4" t="str">
        <f ca="1">IF(COUNTIFS(OFFSET(D235:$Q235,0,SearchDay-1,,15-SearchDay),"&lt;="&amp; ValidC,OFFSET(D235:$Q235,0,SearchDay-1,,15-SearchDay),"&gt;-1")&gt;0,"Есть слот!","Ничего")</f>
        <v>Ничего</v>
      </c>
      <c r="U235">
        <f ca="1">IF(S235="Ищем",IF(StatTbl[[#This Row],[Доступность]]="Есть слот!",COUNTIFS(OFFSET(D235:$Q235,0,SearchDay-1),"&lt;="&amp; ValidC,OFFSET(D235:$Q235,0,SearchDay-1),"&gt;-1"),0),0)</f>
        <v>0</v>
      </c>
      <c r="V235" t="str" cm="1">
        <f t="array" aca="1" ref="V235" ca="1">IF(StatTbl[[#This Row],[Кол-во слотов]]&gt;0, B235&amp;" "&amp;C235&amp;" "&amp;_xlfn.TEXTJOIN(", ",FALSE,TEXT(_xlfn._xlws.FILTER(OFFSET($D$8:$Q$8,0,SearchDay-1,,15-SearchDay),(OFFSET(D235:Q235,0,SearchDay-1,,15-SearchDay)&gt;-1)*(OFFSET(D235:Q235,0,SearchDay-1,,15-SearchDay)&lt;=ValidC)),"ДД/ММ")),"")</f>
        <v/>
      </c>
      <c r="W235" t="str">
        <f t="shared" si="3"/>
        <v>СЦ ЛипецкСуперсейф</v>
      </c>
      <c r="Y235" s="10"/>
      <c r="Z235" s="10"/>
      <c r="AA235" s="10"/>
      <c r="AB235" s="10"/>
    </row>
    <row r="236" spans="2:28" x14ac:dyDescent="0.45">
      <c r="B236" s="12" t="s">
        <v>62</v>
      </c>
      <c r="C236" s="12" t="s">
        <v>111</v>
      </c>
      <c r="D236" s="35">
        <v>-1</v>
      </c>
      <c r="E236" s="35">
        <v>-1</v>
      </c>
      <c r="F236" s="35">
        <v>-1</v>
      </c>
      <c r="G236" s="35">
        <v>-1</v>
      </c>
      <c r="H236" s="35">
        <v>-1</v>
      </c>
      <c r="I236" s="35">
        <v>-1</v>
      </c>
      <c r="J236" s="35">
        <v>-1</v>
      </c>
      <c r="K236" s="35">
        <v>-1</v>
      </c>
      <c r="L236" s="35">
        <v>-1</v>
      </c>
      <c r="M236" s="35">
        <v>-1</v>
      </c>
      <c r="N236" s="35">
        <v>-1</v>
      </c>
      <c r="O236" s="35">
        <v>-1</v>
      </c>
      <c r="P236" s="35">
        <v>-1</v>
      </c>
      <c r="Q236" s="35">
        <v>-1</v>
      </c>
      <c r="S236" s="5" t="str">
        <f>IF(_xlfn.XLOOKUP(StatTbl[[#This Row],[Join]],TargetSlots[Join],TargetSlots[Join],"Не найдено")&lt;&gt;"Не найдено","Ищем","Не ищем")</f>
        <v>Не ищем</v>
      </c>
      <c r="T236" s="4" t="str">
        <f ca="1">IF(COUNTIFS(OFFSET(D236:$Q236,0,SearchDay-1,,15-SearchDay),"&lt;="&amp; ValidC,OFFSET(D236:$Q236,0,SearchDay-1,,15-SearchDay),"&gt;-1")&gt;0,"Есть слот!","Ничего")</f>
        <v>Ничего</v>
      </c>
      <c r="U236">
        <f ca="1">IF(S236="Ищем",IF(StatTbl[[#This Row],[Доступность]]="Есть слот!",COUNTIFS(OFFSET(D236:$Q236,0,SearchDay-1),"&lt;="&amp; ValidC,OFFSET(D236:$Q236,0,SearchDay-1),"&gt;-1"),0),0)</f>
        <v>0</v>
      </c>
      <c r="V236" t="str" cm="1">
        <f t="array" aca="1" ref="V236" ca="1">IF(StatTbl[[#This Row],[Кол-во слотов]]&gt;0, B236&amp;" "&amp;C236&amp;" "&amp;_xlfn.TEXTJOIN(", ",FALSE,TEXT(_xlfn._xlws.FILTER(OFFSET($D$8:$Q$8,0,SearchDay-1,,15-SearchDay),(OFFSET(D236:Q236,0,SearchDay-1,,15-SearchDay)&gt;-1)*(OFFSET(D236:Q236,0,SearchDay-1,,15-SearchDay)&lt;=ValidC)),"ДД/ММ")),"")</f>
        <v/>
      </c>
      <c r="W236" t="str">
        <f t="shared" si="3"/>
        <v>СЦ ЛипецкQR-поставка</v>
      </c>
      <c r="Y236" s="10"/>
      <c r="Z236" s="10"/>
      <c r="AA236" s="10"/>
      <c r="AB236" s="10"/>
    </row>
    <row r="237" spans="2:28" x14ac:dyDescent="0.45">
      <c r="B237" s="12" t="s">
        <v>63</v>
      </c>
      <c r="C237" s="12" t="s">
        <v>109</v>
      </c>
      <c r="D237" s="35">
        <v>-1</v>
      </c>
      <c r="E237" s="35">
        <v>-1</v>
      </c>
      <c r="F237" s="35">
        <v>-1</v>
      </c>
      <c r="G237" s="35">
        <v>-1</v>
      </c>
      <c r="H237" s="35">
        <v>-1</v>
      </c>
      <c r="I237" s="35">
        <v>-1</v>
      </c>
      <c r="J237" s="35">
        <v>-1</v>
      </c>
      <c r="K237" s="35">
        <v>-1</v>
      </c>
      <c r="L237" s="35">
        <v>-1</v>
      </c>
      <c r="M237" s="35">
        <v>-1</v>
      </c>
      <c r="N237" s="35">
        <v>-1</v>
      </c>
      <c r="O237" s="35">
        <v>-1</v>
      </c>
      <c r="P237" s="35">
        <v>-1</v>
      </c>
      <c r="Q237" s="35">
        <v>-1</v>
      </c>
      <c r="S237" s="5" t="str">
        <f>IF(_xlfn.XLOOKUP(StatTbl[[#This Row],[Join]],TargetSlots[Join],TargetSlots[Join],"Не найдено")&lt;&gt;"Не найдено","Ищем","Не ищем")</f>
        <v>Не ищем</v>
      </c>
      <c r="T237" s="4" t="str">
        <f ca="1">IF(COUNTIFS(OFFSET(D237:$Q237,0,SearchDay-1,,15-SearchDay),"&lt;="&amp; ValidC,OFFSET(D237:$Q237,0,SearchDay-1,,15-SearchDay),"&gt;-1")&gt;0,"Есть слот!","Ничего")</f>
        <v>Ничего</v>
      </c>
      <c r="U237">
        <f ca="1">IF(S237="Ищем",IF(StatTbl[[#This Row],[Доступность]]="Есть слот!",COUNTIFS(OFFSET(D237:$Q237,0,SearchDay-1),"&lt;="&amp; ValidC,OFFSET(D237:$Q237,0,SearchDay-1),"&gt;-1"),0),0)</f>
        <v>0</v>
      </c>
      <c r="V237" t="str" cm="1">
        <f t="array" aca="1" ref="V237" ca="1">IF(StatTbl[[#This Row],[Кол-во слотов]]&gt;0, B237&amp;" "&amp;C237&amp;" "&amp;_xlfn.TEXTJOIN(", ",FALSE,TEXT(_xlfn._xlws.FILTER(OFFSET($D$8:$Q$8,0,SearchDay-1,,15-SearchDay),(OFFSET(D237:Q237,0,SearchDay-1,,15-SearchDay)&gt;-1)*(OFFSET(D237:Q237,0,SearchDay-1,,15-SearchDay)&lt;=ValidC)),"ДД/ММ")),"")</f>
        <v/>
      </c>
      <c r="W237" t="str">
        <f t="shared" si="3"/>
        <v>СЦ МахачкалаКороба</v>
      </c>
      <c r="Y237" s="10"/>
      <c r="Z237" s="10"/>
      <c r="AA237" s="10"/>
      <c r="AB237" s="10"/>
    </row>
    <row r="238" spans="2:28" x14ac:dyDescent="0.45">
      <c r="B238" s="12" t="s">
        <v>63</v>
      </c>
      <c r="C238" s="12" t="s">
        <v>110</v>
      </c>
      <c r="D238" s="35">
        <v>-1</v>
      </c>
      <c r="E238" s="35">
        <v>-1</v>
      </c>
      <c r="F238" s="35">
        <v>-1</v>
      </c>
      <c r="G238" s="35">
        <v>-1</v>
      </c>
      <c r="H238" s="35">
        <v>-1</v>
      </c>
      <c r="I238" s="35">
        <v>-1</v>
      </c>
      <c r="J238" s="35">
        <v>-1</v>
      </c>
      <c r="K238" s="35">
        <v>-1</v>
      </c>
      <c r="L238" s="35">
        <v>-1</v>
      </c>
      <c r="M238" s="35">
        <v>-1</v>
      </c>
      <c r="N238" s="35">
        <v>-1</v>
      </c>
      <c r="O238" s="35">
        <v>-1</v>
      </c>
      <c r="P238" s="35">
        <v>-1</v>
      </c>
      <c r="Q238" s="35">
        <v>-1</v>
      </c>
      <c r="S238" s="5" t="str">
        <f>IF(_xlfn.XLOOKUP(StatTbl[[#This Row],[Join]],TargetSlots[Join],TargetSlots[Join],"Не найдено")&lt;&gt;"Не найдено","Ищем","Не ищем")</f>
        <v>Не ищем</v>
      </c>
      <c r="T238" s="4" t="str">
        <f ca="1">IF(COUNTIFS(OFFSET(D238:$Q238,0,SearchDay-1,,15-SearchDay),"&lt;="&amp; ValidC,OFFSET(D238:$Q238,0,SearchDay-1,,15-SearchDay),"&gt;-1")&gt;0,"Есть слот!","Ничего")</f>
        <v>Ничего</v>
      </c>
      <c r="U238">
        <f ca="1">IF(S238="Ищем",IF(StatTbl[[#This Row],[Доступность]]="Есть слот!",COUNTIFS(OFFSET(D238:$Q238,0,SearchDay-1),"&lt;="&amp; ValidC,OFFSET(D238:$Q238,0,SearchDay-1),"&gt;-1"),0),0)</f>
        <v>0</v>
      </c>
      <c r="V238" t="str" cm="1">
        <f t="array" aca="1" ref="V238" ca="1">IF(StatTbl[[#This Row],[Кол-во слотов]]&gt;0, B238&amp;" "&amp;C238&amp;" "&amp;_xlfn.TEXTJOIN(", ",FALSE,TEXT(_xlfn._xlws.FILTER(OFFSET($D$8:$Q$8,0,SearchDay-1,,15-SearchDay),(OFFSET(D238:Q238,0,SearchDay-1,,15-SearchDay)&gt;-1)*(OFFSET(D238:Q238,0,SearchDay-1,,15-SearchDay)&lt;=ValidC)),"ДД/ММ")),"")</f>
        <v/>
      </c>
      <c r="W238" t="str">
        <f t="shared" si="3"/>
        <v>СЦ МахачкалаМонопаллеты</v>
      </c>
      <c r="Y238" s="10"/>
      <c r="Z238" s="10"/>
      <c r="AA238" s="10"/>
      <c r="AB238" s="10"/>
    </row>
    <row r="239" spans="2:28" x14ac:dyDescent="0.45">
      <c r="B239" s="12" t="s">
        <v>63</v>
      </c>
      <c r="C239" s="12" t="s">
        <v>6</v>
      </c>
      <c r="D239" s="35">
        <v>-1</v>
      </c>
      <c r="E239" s="35">
        <v>-1</v>
      </c>
      <c r="F239" s="35">
        <v>-1</v>
      </c>
      <c r="G239" s="35">
        <v>-1</v>
      </c>
      <c r="H239" s="35">
        <v>-1</v>
      </c>
      <c r="I239" s="35">
        <v>-1</v>
      </c>
      <c r="J239" s="35">
        <v>-1</v>
      </c>
      <c r="K239" s="35">
        <v>-1</v>
      </c>
      <c r="L239" s="35">
        <v>-1</v>
      </c>
      <c r="M239" s="35">
        <v>-1</v>
      </c>
      <c r="N239" s="35">
        <v>-1</v>
      </c>
      <c r="O239" s="35">
        <v>-1</v>
      </c>
      <c r="P239" s="35">
        <v>-1</v>
      </c>
      <c r="Q239" s="35">
        <v>-1</v>
      </c>
      <c r="S239" s="5" t="str">
        <f>IF(_xlfn.XLOOKUP(StatTbl[[#This Row],[Join]],TargetSlots[Join],TargetSlots[Join],"Не найдено")&lt;&gt;"Не найдено","Ищем","Не ищем")</f>
        <v>Не ищем</v>
      </c>
      <c r="T239" s="4" t="str">
        <f ca="1">IF(COUNTIFS(OFFSET(D239:$Q239,0,SearchDay-1,,15-SearchDay),"&lt;="&amp; ValidC,OFFSET(D239:$Q239,0,SearchDay-1,,15-SearchDay),"&gt;-1")&gt;0,"Есть слот!","Ничего")</f>
        <v>Ничего</v>
      </c>
      <c r="U239">
        <f ca="1">IF(S239="Ищем",IF(StatTbl[[#This Row],[Доступность]]="Есть слот!",COUNTIFS(OFFSET(D239:$Q239,0,SearchDay-1),"&lt;="&amp; ValidC,OFFSET(D239:$Q239,0,SearchDay-1),"&gt;-1"),0),0)</f>
        <v>0</v>
      </c>
      <c r="V239" t="str" cm="1">
        <f t="array" aca="1" ref="V239" ca="1">IF(StatTbl[[#This Row],[Кол-во слотов]]&gt;0, B239&amp;" "&amp;C239&amp;" "&amp;_xlfn.TEXTJOIN(", ",FALSE,TEXT(_xlfn._xlws.FILTER(OFFSET($D$8:$Q$8,0,SearchDay-1,,15-SearchDay),(OFFSET(D239:Q239,0,SearchDay-1,,15-SearchDay)&gt;-1)*(OFFSET(D239:Q239,0,SearchDay-1,,15-SearchDay)&lt;=ValidC)),"ДД/ММ")),"")</f>
        <v/>
      </c>
      <c r="W239" t="str">
        <f t="shared" si="3"/>
        <v>СЦ МахачкалаСуперсейф</v>
      </c>
      <c r="Y239" s="10"/>
      <c r="Z239" s="10"/>
      <c r="AA239" s="10"/>
      <c r="AB239" s="10"/>
    </row>
    <row r="240" spans="2:28" x14ac:dyDescent="0.45">
      <c r="B240" s="12" t="s">
        <v>63</v>
      </c>
      <c r="C240" s="12" t="s">
        <v>111</v>
      </c>
      <c r="D240" s="35">
        <v>-1</v>
      </c>
      <c r="E240" s="35">
        <v>-1</v>
      </c>
      <c r="F240" s="35">
        <v>-1</v>
      </c>
      <c r="G240" s="35">
        <v>-1</v>
      </c>
      <c r="H240" s="35">
        <v>-1</v>
      </c>
      <c r="I240" s="35">
        <v>-1</v>
      </c>
      <c r="J240" s="35">
        <v>-1</v>
      </c>
      <c r="K240" s="35">
        <v>-1</v>
      </c>
      <c r="L240" s="35">
        <v>-1</v>
      </c>
      <c r="M240" s="35">
        <v>-1</v>
      </c>
      <c r="N240" s="35">
        <v>-1</v>
      </c>
      <c r="O240" s="35">
        <v>-1</v>
      </c>
      <c r="P240" s="35">
        <v>-1</v>
      </c>
      <c r="Q240" s="35">
        <v>-1</v>
      </c>
      <c r="S240" s="5" t="str">
        <f>IF(_xlfn.XLOOKUP(StatTbl[[#This Row],[Join]],TargetSlots[Join],TargetSlots[Join],"Не найдено")&lt;&gt;"Не найдено","Ищем","Не ищем")</f>
        <v>Не ищем</v>
      </c>
      <c r="T240" s="4" t="str">
        <f ca="1">IF(COUNTIFS(OFFSET(D240:$Q240,0,SearchDay-1,,15-SearchDay),"&lt;="&amp; ValidC,OFFSET(D240:$Q240,0,SearchDay-1,,15-SearchDay),"&gt;-1")&gt;0,"Есть слот!","Ничего")</f>
        <v>Ничего</v>
      </c>
      <c r="U240">
        <f ca="1">IF(S240="Ищем",IF(StatTbl[[#This Row],[Доступность]]="Есть слот!",COUNTIFS(OFFSET(D240:$Q240,0,SearchDay-1),"&lt;="&amp; ValidC,OFFSET(D240:$Q240,0,SearchDay-1),"&gt;-1"),0),0)</f>
        <v>0</v>
      </c>
      <c r="V240" t="str" cm="1">
        <f t="array" aca="1" ref="V240" ca="1">IF(StatTbl[[#This Row],[Кол-во слотов]]&gt;0, B240&amp;" "&amp;C240&amp;" "&amp;_xlfn.TEXTJOIN(", ",FALSE,TEXT(_xlfn._xlws.FILTER(OFFSET($D$8:$Q$8,0,SearchDay-1,,15-SearchDay),(OFFSET(D240:Q240,0,SearchDay-1,,15-SearchDay)&gt;-1)*(OFFSET(D240:Q240,0,SearchDay-1,,15-SearchDay)&lt;=ValidC)),"ДД/ММ")),"")</f>
        <v/>
      </c>
      <c r="W240" t="str">
        <f t="shared" si="3"/>
        <v>СЦ МахачкалаQR-поставка</v>
      </c>
      <c r="Y240" s="10"/>
      <c r="Z240" s="10"/>
      <c r="AA240" s="10"/>
      <c r="AB240" s="10"/>
    </row>
    <row r="241" spans="2:28" x14ac:dyDescent="0.45">
      <c r="B241" s="12" t="s">
        <v>64</v>
      </c>
      <c r="C241" s="12" t="s">
        <v>109</v>
      </c>
      <c r="D241" s="35">
        <v>10</v>
      </c>
      <c r="E241" s="35">
        <v>20</v>
      </c>
      <c r="F241" s="35">
        <v>10</v>
      </c>
      <c r="G241" s="35">
        <v>10</v>
      </c>
      <c r="H241" s="35">
        <v>10</v>
      </c>
      <c r="I241" s="35">
        <v>10</v>
      </c>
      <c r="J241" s="35">
        <v>20</v>
      </c>
      <c r="K241" s="35">
        <v>10</v>
      </c>
      <c r="L241" s="35">
        <v>10</v>
      </c>
      <c r="M241" s="35">
        <v>10</v>
      </c>
      <c r="N241" s="35">
        <v>10</v>
      </c>
      <c r="O241" s="35">
        <v>10</v>
      </c>
      <c r="P241" s="35">
        <v>10</v>
      </c>
      <c r="Q241" s="35">
        <v>-1</v>
      </c>
      <c r="S241" s="5" t="str">
        <f>IF(_xlfn.XLOOKUP(StatTbl[[#This Row],[Join]],TargetSlots[Join],TargetSlots[Join],"Не найдено")&lt;&gt;"Не найдено","Ищем","Не ищем")</f>
        <v>Не ищем</v>
      </c>
      <c r="T241" s="4" t="str">
        <f ca="1">IF(COUNTIFS(OFFSET(D241:$Q241,0,SearchDay-1,,15-SearchDay),"&lt;="&amp; ValidC,OFFSET(D241:$Q241,0,SearchDay-1,,15-SearchDay),"&gt;-1")&gt;0,"Есть слот!","Ничего")</f>
        <v>Ничего</v>
      </c>
      <c r="U241">
        <f ca="1">IF(S241="Ищем",IF(StatTbl[[#This Row],[Доступность]]="Есть слот!",COUNTIFS(OFFSET(D241:$Q241,0,SearchDay-1),"&lt;="&amp; ValidC,OFFSET(D241:$Q241,0,SearchDay-1),"&gt;-1"),0),0)</f>
        <v>0</v>
      </c>
      <c r="V241" t="str" cm="1">
        <f t="array" aca="1" ref="V241" ca="1">IF(StatTbl[[#This Row],[Кол-во слотов]]&gt;0, B241&amp;" "&amp;C241&amp;" "&amp;_xlfn.TEXTJOIN(", ",FALSE,TEXT(_xlfn._xlws.FILTER(OFFSET($D$8:$Q$8,0,SearchDay-1,,15-SearchDay),(OFFSET(D241:Q241,0,SearchDay-1,,15-SearchDay)&gt;-1)*(OFFSET(D241:Q241,0,SearchDay-1,,15-SearchDay)&lt;=ValidC)),"ДД/ММ")),"")</f>
        <v/>
      </c>
      <c r="W241" t="str">
        <f t="shared" si="3"/>
        <v>СЦ МурманскКороба</v>
      </c>
      <c r="Y241" s="10"/>
      <c r="Z241" s="10"/>
      <c r="AA241" s="10"/>
      <c r="AB241" s="10"/>
    </row>
    <row r="242" spans="2:28" x14ac:dyDescent="0.45">
      <c r="B242" s="12" t="s">
        <v>64</v>
      </c>
      <c r="C242" s="12" t="s">
        <v>110</v>
      </c>
      <c r="D242" s="35">
        <v>-1</v>
      </c>
      <c r="E242" s="35">
        <v>-1</v>
      </c>
      <c r="F242" s="35">
        <v>-1</v>
      </c>
      <c r="G242" s="35">
        <v>-1</v>
      </c>
      <c r="H242" s="35">
        <v>-1</v>
      </c>
      <c r="I242" s="35">
        <v>-1</v>
      </c>
      <c r="J242" s="35">
        <v>-1</v>
      </c>
      <c r="K242" s="35">
        <v>-1</v>
      </c>
      <c r="L242" s="35">
        <v>-1</v>
      </c>
      <c r="M242" s="35">
        <v>-1</v>
      </c>
      <c r="N242" s="35">
        <v>-1</v>
      </c>
      <c r="O242" s="35">
        <v>-1</v>
      </c>
      <c r="P242" s="35">
        <v>-1</v>
      </c>
      <c r="Q242" s="35">
        <v>-1</v>
      </c>
      <c r="S242" s="5" t="str">
        <f>IF(_xlfn.XLOOKUP(StatTbl[[#This Row],[Join]],TargetSlots[Join],TargetSlots[Join],"Не найдено")&lt;&gt;"Не найдено","Ищем","Не ищем")</f>
        <v>Не ищем</v>
      </c>
      <c r="T242" s="4" t="str">
        <f ca="1">IF(COUNTIFS(OFFSET(D242:$Q242,0,SearchDay-1,,15-SearchDay),"&lt;="&amp; ValidC,OFFSET(D242:$Q242,0,SearchDay-1,,15-SearchDay),"&gt;-1")&gt;0,"Есть слот!","Ничего")</f>
        <v>Ничего</v>
      </c>
      <c r="U242">
        <f ca="1">IF(S242="Ищем",IF(StatTbl[[#This Row],[Доступность]]="Есть слот!",COUNTIFS(OFFSET(D242:$Q242,0,SearchDay-1),"&lt;="&amp; ValidC,OFFSET(D242:$Q242,0,SearchDay-1),"&gt;-1"),0),0)</f>
        <v>0</v>
      </c>
      <c r="V242" t="str" cm="1">
        <f t="array" aca="1" ref="V242" ca="1">IF(StatTbl[[#This Row],[Кол-во слотов]]&gt;0, B242&amp;" "&amp;C242&amp;" "&amp;_xlfn.TEXTJOIN(", ",FALSE,TEXT(_xlfn._xlws.FILTER(OFFSET($D$8:$Q$8,0,SearchDay-1,,15-SearchDay),(OFFSET(D242:Q242,0,SearchDay-1,,15-SearchDay)&gt;-1)*(OFFSET(D242:Q242,0,SearchDay-1,,15-SearchDay)&lt;=ValidC)),"ДД/ММ")),"")</f>
        <v/>
      </c>
      <c r="W242" t="str">
        <f t="shared" si="3"/>
        <v>СЦ МурманскМонопаллеты</v>
      </c>
      <c r="Y242" s="10"/>
      <c r="Z242" s="10"/>
      <c r="AA242" s="10"/>
      <c r="AB242" s="10"/>
    </row>
    <row r="243" spans="2:28" x14ac:dyDescent="0.45">
      <c r="B243" s="12" t="s">
        <v>64</v>
      </c>
      <c r="C243" s="12" t="s">
        <v>6</v>
      </c>
      <c r="D243" s="35">
        <v>-1</v>
      </c>
      <c r="E243" s="35">
        <v>-1</v>
      </c>
      <c r="F243" s="35">
        <v>-1</v>
      </c>
      <c r="G243" s="35">
        <v>-1</v>
      </c>
      <c r="H243" s="35">
        <v>-1</v>
      </c>
      <c r="I243" s="35">
        <v>-1</v>
      </c>
      <c r="J243" s="35">
        <v>-1</v>
      </c>
      <c r="K243" s="35">
        <v>-1</v>
      </c>
      <c r="L243" s="35">
        <v>-1</v>
      </c>
      <c r="M243" s="35">
        <v>-1</v>
      </c>
      <c r="N243" s="35">
        <v>-1</v>
      </c>
      <c r="O243" s="35">
        <v>-1</v>
      </c>
      <c r="P243" s="35">
        <v>-1</v>
      </c>
      <c r="Q243" s="35">
        <v>-1</v>
      </c>
      <c r="S243" s="5" t="str">
        <f>IF(_xlfn.XLOOKUP(StatTbl[[#This Row],[Join]],TargetSlots[Join],TargetSlots[Join],"Не найдено")&lt;&gt;"Не найдено","Ищем","Не ищем")</f>
        <v>Не ищем</v>
      </c>
      <c r="T243" s="4" t="str">
        <f ca="1">IF(COUNTIFS(OFFSET(D243:$Q243,0,SearchDay-1,,15-SearchDay),"&lt;="&amp; ValidC,OFFSET(D243:$Q243,0,SearchDay-1,,15-SearchDay),"&gt;-1")&gt;0,"Есть слот!","Ничего")</f>
        <v>Ничего</v>
      </c>
      <c r="U243">
        <f ca="1">IF(S243="Ищем",IF(StatTbl[[#This Row],[Доступность]]="Есть слот!",COUNTIFS(OFFSET(D243:$Q243,0,SearchDay-1),"&lt;="&amp; ValidC,OFFSET(D243:$Q243,0,SearchDay-1),"&gt;-1"),0),0)</f>
        <v>0</v>
      </c>
      <c r="V243" t="str" cm="1">
        <f t="array" aca="1" ref="V243" ca="1">IF(StatTbl[[#This Row],[Кол-во слотов]]&gt;0, B243&amp;" "&amp;C243&amp;" "&amp;_xlfn.TEXTJOIN(", ",FALSE,TEXT(_xlfn._xlws.FILTER(OFFSET($D$8:$Q$8,0,SearchDay-1,,15-SearchDay),(OFFSET(D243:Q243,0,SearchDay-1,,15-SearchDay)&gt;-1)*(OFFSET(D243:Q243,0,SearchDay-1,,15-SearchDay)&lt;=ValidC)),"ДД/ММ")),"")</f>
        <v/>
      </c>
      <c r="W243" t="str">
        <f t="shared" si="3"/>
        <v>СЦ МурманскСуперсейф</v>
      </c>
      <c r="Y243" s="10"/>
      <c r="Z243" s="10"/>
      <c r="AA243" s="10"/>
      <c r="AB243" s="10"/>
    </row>
    <row r="244" spans="2:28" x14ac:dyDescent="0.45">
      <c r="B244" s="12" t="s">
        <v>64</v>
      </c>
      <c r="C244" s="12" t="s">
        <v>111</v>
      </c>
      <c r="D244" s="35">
        <v>10</v>
      </c>
      <c r="E244" s="35">
        <v>10</v>
      </c>
      <c r="F244" s="35">
        <v>10</v>
      </c>
      <c r="G244" s="35">
        <v>10</v>
      </c>
      <c r="H244" s="35">
        <v>20</v>
      </c>
      <c r="I244" s="35">
        <v>20</v>
      </c>
      <c r="J244" s="35">
        <v>20</v>
      </c>
      <c r="K244" s="35">
        <v>20</v>
      </c>
      <c r="L244" s="35">
        <v>20</v>
      </c>
      <c r="M244" s="35">
        <v>20</v>
      </c>
      <c r="N244" s="35">
        <v>20</v>
      </c>
      <c r="O244" s="35">
        <v>-1</v>
      </c>
      <c r="P244" s="35">
        <v>-1</v>
      </c>
      <c r="Q244" s="35">
        <v>-1</v>
      </c>
      <c r="S244" s="5" t="str">
        <f>IF(_xlfn.XLOOKUP(StatTbl[[#This Row],[Join]],TargetSlots[Join],TargetSlots[Join],"Не найдено")&lt;&gt;"Не найдено","Ищем","Не ищем")</f>
        <v>Не ищем</v>
      </c>
      <c r="T244" s="4" t="str">
        <f ca="1">IF(COUNTIFS(OFFSET(D244:$Q244,0,SearchDay-1,,15-SearchDay),"&lt;="&amp; ValidC,OFFSET(D244:$Q244,0,SearchDay-1,,15-SearchDay),"&gt;-1")&gt;0,"Есть слот!","Ничего")</f>
        <v>Ничего</v>
      </c>
      <c r="U244">
        <f ca="1">IF(S244="Ищем",IF(StatTbl[[#This Row],[Доступность]]="Есть слот!",COUNTIFS(OFFSET(D244:$Q244,0,SearchDay-1),"&lt;="&amp; ValidC,OFFSET(D244:$Q244,0,SearchDay-1),"&gt;-1"),0),0)</f>
        <v>0</v>
      </c>
      <c r="V244" t="str" cm="1">
        <f t="array" aca="1" ref="V244" ca="1">IF(StatTbl[[#This Row],[Кол-во слотов]]&gt;0, B244&amp;" "&amp;C244&amp;" "&amp;_xlfn.TEXTJOIN(", ",FALSE,TEXT(_xlfn._xlws.FILTER(OFFSET($D$8:$Q$8,0,SearchDay-1,,15-SearchDay),(OFFSET(D244:Q244,0,SearchDay-1,,15-SearchDay)&gt;-1)*(OFFSET(D244:Q244,0,SearchDay-1,,15-SearchDay)&lt;=ValidC)),"ДД/ММ")),"")</f>
        <v/>
      </c>
      <c r="W244" t="str">
        <f t="shared" si="3"/>
        <v>СЦ МурманскQR-поставка</v>
      </c>
      <c r="Y244" s="10"/>
      <c r="Z244" s="10"/>
      <c r="AA244" s="10"/>
      <c r="AB244" s="10"/>
    </row>
    <row r="245" spans="2:28" x14ac:dyDescent="0.45">
      <c r="B245" s="12" t="s">
        <v>65</v>
      </c>
      <c r="C245" s="12" t="s">
        <v>109</v>
      </c>
      <c r="D245" s="35">
        <v>-1</v>
      </c>
      <c r="E245" s="35">
        <v>-1</v>
      </c>
      <c r="F245" s="35">
        <v>-1</v>
      </c>
      <c r="G245" s="35">
        <v>-1</v>
      </c>
      <c r="H245" s="35">
        <v>-1</v>
      </c>
      <c r="I245" s="35">
        <v>-1</v>
      </c>
      <c r="J245" s="35">
        <v>-1</v>
      </c>
      <c r="K245" s="35">
        <v>-1</v>
      </c>
      <c r="L245" s="35">
        <v>-1</v>
      </c>
      <c r="M245" s="35">
        <v>-1</v>
      </c>
      <c r="N245" s="35">
        <v>-1</v>
      </c>
      <c r="O245" s="35">
        <v>-1</v>
      </c>
      <c r="P245" s="35">
        <v>-1</v>
      </c>
      <c r="Q245" s="35">
        <v>-1</v>
      </c>
      <c r="S245" s="5" t="str">
        <f>IF(_xlfn.XLOOKUP(StatTbl[[#This Row],[Join]],TargetSlots[Join],TargetSlots[Join],"Не найдено")&lt;&gt;"Не найдено","Ищем","Не ищем")</f>
        <v>Не ищем</v>
      </c>
      <c r="T245" s="4" t="str">
        <f ca="1">IF(COUNTIFS(OFFSET(D245:$Q245,0,SearchDay-1,,15-SearchDay),"&lt;="&amp; ValidC,OFFSET(D245:$Q245,0,SearchDay-1,,15-SearchDay),"&gt;-1")&gt;0,"Есть слот!","Ничего")</f>
        <v>Ничего</v>
      </c>
      <c r="U245">
        <f ca="1">IF(S245="Ищем",IF(StatTbl[[#This Row],[Доступность]]="Есть слот!",COUNTIFS(OFFSET(D245:$Q245,0,SearchDay-1),"&lt;="&amp; ValidC,OFFSET(D245:$Q245,0,SearchDay-1),"&gt;-1"),0),0)</f>
        <v>0</v>
      </c>
      <c r="V245" t="str" cm="1">
        <f t="array" aca="1" ref="V245" ca="1">IF(StatTbl[[#This Row],[Кол-во слотов]]&gt;0, B245&amp;" "&amp;C245&amp;" "&amp;_xlfn.TEXTJOIN(", ",FALSE,TEXT(_xlfn._xlws.FILTER(OFFSET($D$8:$Q$8,0,SearchDay-1,,15-SearchDay),(OFFSET(D245:Q245,0,SearchDay-1,,15-SearchDay)&gt;-1)*(OFFSET(D245:Q245,0,SearchDay-1,,15-SearchDay)&lt;=ValidC)),"ДД/ММ")),"")</f>
        <v/>
      </c>
      <c r="W245" t="str">
        <f t="shared" si="3"/>
        <v>СЦ Набережные ЧелныКороба</v>
      </c>
      <c r="Y245" s="10"/>
      <c r="Z245" s="10"/>
      <c r="AA245" s="10"/>
      <c r="AB245" s="10"/>
    </row>
    <row r="246" spans="2:28" x14ac:dyDescent="0.45">
      <c r="B246" s="12" t="s">
        <v>65</v>
      </c>
      <c r="C246" s="12" t="s">
        <v>110</v>
      </c>
      <c r="D246" s="35">
        <v>-1</v>
      </c>
      <c r="E246" s="35">
        <v>-1</v>
      </c>
      <c r="F246" s="35">
        <v>-1</v>
      </c>
      <c r="G246" s="35">
        <v>-1</v>
      </c>
      <c r="H246" s="35">
        <v>-1</v>
      </c>
      <c r="I246" s="35">
        <v>-1</v>
      </c>
      <c r="J246" s="35">
        <v>-1</v>
      </c>
      <c r="K246" s="35">
        <v>-1</v>
      </c>
      <c r="L246" s="35">
        <v>-1</v>
      </c>
      <c r="M246" s="35">
        <v>-1</v>
      </c>
      <c r="N246" s="35">
        <v>-1</v>
      </c>
      <c r="O246" s="35">
        <v>-1</v>
      </c>
      <c r="P246" s="35">
        <v>-1</v>
      </c>
      <c r="Q246" s="35">
        <v>-1</v>
      </c>
      <c r="S246" s="5" t="str">
        <f>IF(_xlfn.XLOOKUP(StatTbl[[#This Row],[Join]],TargetSlots[Join],TargetSlots[Join],"Не найдено")&lt;&gt;"Не найдено","Ищем","Не ищем")</f>
        <v>Не ищем</v>
      </c>
      <c r="T246" s="4" t="str">
        <f ca="1">IF(COUNTIFS(OFFSET(D246:$Q246,0,SearchDay-1,,15-SearchDay),"&lt;="&amp; ValidC,OFFSET(D246:$Q246,0,SearchDay-1,,15-SearchDay),"&gt;-1")&gt;0,"Есть слот!","Ничего")</f>
        <v>Ничего</v>
      </c>
      <c r="U246">
        <f ca="1">IF(S246="Ищем",IF(StatTbl[[#This Row],[Доступность]]="Есть слот!",COUNTIFS(OFFSET(D246:$Q246,0,SearchDay-1),"&lt;="&amp; ValidC,OFFSET(D246:$Q246,0,SearchDay-1),"&gt;-1"),0),0)</f>
        <v>0</v>
      </c>
      <c r="V246" t="str" cm="1">
        <f t="array" aca="1" ref="V246" ca="1">IF(StatTbl[[#This Row],[Кол-во слотов]]&gt;0, B246&amp;" "&amp;C246&amp;" "&amp;_xlfn.TEXTJOIN(", ",FALSE,TEXT(_xlfn._xlws.FILTER(OFFSET($D$8:$Q$8,0,SearchDay-1,,15-SearchDay),(OFFSET(D246:Q246,0,SearchDay-1,,15-SearchDay)&gt;-1)*(OFFSET(D246:Q246,0,SearchDay-1,,15-SearchDay)&lt;=ValidC)),"ДД/ММ")),"")</f>
        <v/>
      </c>
      <c r="W246" t="str">
        <f t="shared" si="3"/>
        <v>СЦ Набережные ЧелныМонопаллеты</v>
      </c>
      <c r="Y246" s="10"/>
      <c r="Z246" s="10"/>
      <c r="AA246" s="10"/>
      <c r="AB246" s="10"/>
    </row>
    <row r="247" spans="2:28" x14ac:dyDescent="0.45">
      <c r="B247" s="12" t="s">
        <v>65</v>
      </c>
      <c r="C247" s="12" t="s">
        <v>6</v>
      </c>
      <c r="D247" s="35">
        <v>-1</v>
      </c>
      <c r="E247" s="35">
        <v>-1</v>
      </c>
      <c r="F247" s="35">
        <v>-1</v>
      </c>
      <c r="G247" s="35">
        <v>-1</v>
      </c>
      <c r="H247" s="35">
        <v>-1</v>
      </c>
      <c r="I247" s="35">
        <v>-1</v>
      </c>
      <c r="J247" s="35">
        <v>-1</v>
      </c>
      <c r="K247" s="35">
        <v>-1</v>
      </c>
      <c r="L247" s="35">
        <v>-1</v>
      </c>
      <c r="M247" s="35">
        <v>-1</v>
      </c>
      <c r="N247" s="35">
        <v>-1</v>
      </c>
      <c r="O247" s="35">
        <v>-1</v>
      </c>
      <c r="P247" s="35">
        <v>-1</v>
      </c>
      <c r="Q247" s="35">
        <v>-1</v>
      </c>
      <c r="S247" s="5" t="str">
        <f>IF(_xlfn.XLOOKUP(StatTbl[[#This Row],[Join]],TargetSlots[Join],TargetSlots[Join],"Не найдено")&lt;&gt;"Не найдено","Ищем","Не ищем")</f>
        <v>Не ищем</v>
      </c>
      <c r="T247" s="4" t="str">
        <f ca="1">IF(COUNTIFS(OFFSET(D247:$Q247,0,SearchDay-1,,15-SearchDay),"&lt;="&amp; ValidC,OFFSET(D247:$Q247,0,SearchDay-1,,15-SearchDay),"&gt;-1")&gt;0,"Есть слот!","Ничего")</f>
        <v>Ничего</v>
      </c>
      <c r="U247">
        <f ca="1">IF(S247="Ищем",IF(StatTbl[[#This Row],[Доступность]]="Есть слот!",COUNTIFS(OFFSET(D247:$Q247,0,SearchDay-1),"&lt;="&amp; ValidC,OFFSET(D247:$Q247,0,SearchDay-1),"&gt;-1"),0),0)</f>
        <v>0</v>
      </c>
      <c r="V247" t="str" cm="1">
        <f t="array" aca="1" ref="V247" ca="1">IF(StatTbl[[#This Row],[Кол-во слотов]]&gt;0, B247&amp;" "&amp;C247&amp;" "&amp;_xlfn.TEXTJOIN(", ",FALSE,TEXT(_xlfn._xlws.FILTER(OFFSET($D$8:$Q$8,0,SearchDay-1,,15-SearchDay),(OFFSET(D247:Q247,0,SearchDay-1,,15-SearchDay)&gt;-1)*(OFFSET(D247:Q247,0,SearchDay-1,,15-SearchDay)&lt;=ValidC)),"ДД/ММ")),"")</f>
        <v/>
      </c>
      <c r="W247" t="str">
        <f t="shared" si="3"/>
        <v>СЦ Набережные ЧелныСуперсейф</v>
      </c>
      <c r="Y247" s="10"/>
      <c r="Z247" s="10"/>
      <c r="AA247" s="10"/>
      <c r="AB247" s="10"/>
    </row>
    <row r="248" spans="2:28" x14ac:dyDescent="0.45">
      <c r="B248" s="12" t="s">
        <v>65</v>
      </c>
      <c r="C248" s="12" t="s">
        <v>111</v>
      </c>
      <c r="D248" s="35">
        <v>-1</v>
      </c>
      <c r="E248" s="35">
        <v>-1</v>
      </c>
      <c r="F248" s="35">
        <v>-1</v>
      </c>
      <c r="G248" s="35">
        <v>-1</v>
      </c>
      <c r="H248" s="35">
        <v>-1</v>
      </c>
      <c r="I248" s="35">
        <v>-1</v>
      </c>
      <c r="J248" s="35">
        <v>-1</v>
      </c>
      <c r="K248" s="35">
        <v>-1</v>
      </c>
      <c r="L248" s="35">
        <v>-1</v>
      </c>
      <c r="M248" s="35">
        <v>-1</v>
      </c>
      <c r="N248" s="35">
        <v>-1</v>
      </c>
      <c r="O248" s="35">
        <v>-1</v>
      </c>
      <c r="P248" s="35">
        <v>-1</v>
      </c>
      <c r="Q248" s="35">
        <v>-1</v>
      </c>
      <c r="S248" s="5" t="str">
        <f>IF(_xlfn.XLOOKUP(StatTbl[[#This Row],[Join]],TargetSlots[Join],TargetSlots[Join],"Не найдено")&lt;&gt;"Не найдено","Ищем","Не ищем")</f>
        <v>Не ищем</v>
      </c>
      <c r="T248" s="4" t="str">
        <f ca="1">IF(COUNTIFS(OFFSET(D248:$Q248,0,SearchDay-1,,15-SearchDay),"&lt;="&amp; ValidC,OFFSET(D248:$Q248,0,SearchDay-1,,15-SearchDay),"&gt;-1")&gt;0,"Есть слот!","Ничего")</f>
        <v>Ничего</v>
      </c>
      <c r="U248">
        <f ca="1">IF(S248="Ищем",IF(StatTbl[[#This Row],[Доступность]]="Есть слот!",COUNTIFS(OFFSET(D248:$Q248,0,SearchDay-1),"&lt;="&amp; ValidC,OFFSET(D248:$Q248,0,SearchDay-1),"&gt;-1"),0),0)</f>
        <v>0</v>
      </c>
      <c r="V248" t="str" cm="1">
        <f t="array" aca="1" ref="V248" ca="1">IF(StatTbl[[#This Row],[Кол-во слотов]]&gt;0, B248&amp;" "&amp;C248&amp;" "&amp;_xlfn.TEXTJOIN(", ",FALSE,TEXT(_xlfn._xlws.FILTER(OFFSET($D$8:$Q$8,0,SearchDay-1,,15-SearchDay),(OFFSET(D248:Q248,0,SearchDay-1,,15-SearchDay)&gt;-1)*(OFFSET(D248:Q248,0,SearchDay-1,,15-SearchDay)&lt;=ValidC)),"ДД/ММ")),"")</f>
        <v/>
      </c>
      <c r="W248" t="str">
        <f t="shared" si="3"/>
        <v>СЦ Набережные ЧелныQR-поставка</v>
      </c>
      <c r="Y248" s="10"/>
      <c r="Z248" s="10"/>
      <c r="AA248" s="10"/>
      <c r="AB248" s="10"/>
    </row>
    <row r="249" spans="2:28" x14ac:dyDescent="0.45">
      <c r="B249" s="12" t="s">
        <v>66</v>
      </c>
      <c r="C249" s="12" t="s">
        <v>109</v>
      </c>
      <c r="D249" s="35">
        <v>-1</v>
      </c>
      <c r="E249" s="35">
        <v>-1</v>
      </c>
      <c r="F249" s="35">
        <v>-1</v>
      </c>
      <c r="G249" s="35">
        <v>-1</v>
      </c>
      <c r="H249" s="35">
        <v>-1</v>
      </c>
      <c r="I249" s="35">
        <v>-1</v>
      </c>
      <c r="J249" s="35">
        <v>-1</v>
      </c>
      <c r="K249" s="35">
        <v>-1</v>
      </c>
      <c r="L249" s="35">
        <v>-1</v>
      </c>
      <c r="M249" s="35">
        <v>-1</v>
      </c>
      <c r="N249" s="35">
        <v>-1</v>
      </c>
      <c r="O249" s="35">
        <v>-1</v>
      </c>
      <c r="P249" s="35">
        <v>-1</v>
      </c>
      <c r="Q249" s="35">
        <v>-1</v>
      </c>
      <c r="S249" s="5" t="str">
        <f>IF(_xlfn.XLOOKUP(StatTbl[[#This Row],[Join]],TargetSlots[Join],TargetSlots[Join],"Не найдено")&lt;&gt;"Не найдено","Ищем","Не ищем")</f>
        <v>Не ищем</v>
      </c>
      <c r="T249" s="4" t="str">
        <f ca="1">IF(COUNTIFS(OFFSET(D249:$Q249,0,SearchDay-1,,15-SearchDay),"&lt;="&amp; ValidC,OFFSET(D249:$Q249,0,SearchDay-1,,15-SearchDay),"&gt;-1")&gt;0,"Есть слот!","Ничего")</f>
        <v>Ничего</v>
      </c>
      <c r="U249">
        <f ca="1">IF(S249="Ищем",IF(StatTbl[[#This Row],[Доступность]]="Есть слот!",COUNTIFS(OFFSET(D249:$Q249,0,SearchDay-1),"&lt;="&amp; ValidC,OFFSET(D249:$Q249,0,SearchDay-1),"&gt;-1"),0),0)</f>
        <v>0</v>
      </c>
      <c r="V249" t="str" cm="1">
        <f t="array" aca="1" ref="V249" ca="1">IF(StatTbl[[#This Row],[Кол-во слотов]]&gt;0, B249&amp;" "&amp;C249&amp;" "&amp;_xlfn.TEXTJOIN(", ",FALSE,TEXT(_xlfn._xlws.FILTER(OFFSET($D$8:$Q$8,0,SearchDay-1,,15-SearchDay),(OFFSET(D249:Q249,0,SearchDay-1,,15-SearchDay)&gt;-1)*(OFFSET(D249:Q249,0,SearchDay-1,,15-SearchDay)&lt;=ValidC)),"ДД/ММ")),"")</f>
        <v/>
      </c>
      <c r="W249" t="str">
        <f t="shared" si="3"/>
        <v>СЦ Нижний НовгородКороба</v>
      </c>
      <c r="Y249" s="10"/>
      <c r="Z249" s="10"/>
      <c r="AA249" s="10"/>
      <c r="AB249" s="10"/>
    </row>
    <row r="250" spans="2:28" x14ac:dyDescent="0.45">
      <c r="B250" s="12" t="s">
        <v>66</v>
      </c>
      <c r="C250" s="12" t="s">
        <v>110</v>
      </c>
      <c r="D250" s="35">
        <v>-1</v>
      </c>
      <c r="E250" s="35">
        <v>-1</v>
      </c>
      <c r="F250" s="35">
        <v>-1</v>
      </c>
      <c r="G250" s="35">
        <v>-1</v>
      </c>
      <c r="H250" s="35">
        <v>-1</v>
      </c>
      <c r="I250" s="35">
        <v>-1</v>
      </c>
      <c r="J250" s="35">
        <v>-1</v>
      </c>
      <c r="K250" s="35">
        <v>-1</v>
      </c>
      <c r="L250" s="35">
        <v>-1</v>
      </c>
      <c r="M250" s="35">
        <v>-1</v>
      </c>
      <c r="N250" s="35">
        <v>-1</v>
      </c>
      <c r="O250" s="35">
        <v>-1</v>
      </c>
      <c r="P250" s="35">
        <v>-1</v>
      </c>
      <c r="Q250" s="35">
        <v>-1</v>
      </c>
      <c r="S250" s="5" t="str">
        <f>IF(_xlfn.XLOOKUP(StatTbl[[#This Row],[Join]],TargetSlots[Join],TargetSlots[Join],"Не найдено")&lt;&gt;"Не найдено","Ищем","Не ищем")</f>
        <v>Не ищем</v>
      </c>
      <c r="T250" s="4" t="str">
        <f ca="1">IF(COUNTIFS(OFFSET(D250:$Q250,0,SearchDay-1,,15-SearchDay),"&lt;="&amp; ValidC,OFFSET(D250:$Q250,0,SearchDay-1,,15-SearchDay),"&gt;-1")&gt;0,"Есть слот!","Ничего")</f>
        <v>Ничего</v>
      </c>
      <c r="U250">
        <f ca="1">IF(S250="Ищем",IF(StatTbl[[#This Row],[Доступность]]="Есть слот!",COUNTIFS(OFFSET(D250:$Q250,0,SearchDay-1),"&lt;="&amp; ValidC,OFFSET(D250:$Q250,0,SearchDay-1),"&gt;-1"),0),0)</f>
        <v>0</v>
      </c>
      <c r="V250" t="str" cm="1">
        <f t="array" aca="1" ref="V250" ca="1">IF(StatTbl[[#This Row],[Кол-во слотов]]&gt;0, B250&amp;" "&amp;C250&amp;" "&amp;_xlfn.TEXTJOIN(", ",FALSE,TEXT(_xlfn._xlws.FILTER(OFFSET($D$8:$Q$8,0,SearchDay-1,,15-SearchDay),(OFFSET(D250:Q250,0,SearchDay-1,,15-SearchDay)&gt;-1)*(OFFSET(D250:Q250,0,SearchDay-1,,15-SearchDay)&lt;=ValidC)),"ДД/ММ")),"")</f>
        <v/>
      </c>
      <c r="W250" t="str">
        <f t="shared" si="3"/>
        <v>СЦ Нижний НовгородМонопаллеты</v>
      </c>
      <c r="Y250" s="10"/>
      <c r="Z250" s="10"/>
      <c r="AA250" s="10"/>
      <c r="AB250" s="10"/>
    </row>
    <row r="251" spans="2:28" x14ac:dyDescent="0.45">
      <c r="B251" s="12" t="s">
        <v>66</v>
      </c>
      <c r="C251" s="12" t="s">
        <v>6</v>
      </c>
      <c r="D251" s="35">
        <v>-1</v>
      </c>
      <c r="E251" s="35">
        <v>-1</v>
      </c>
      <c r="F251" s="35">
        <v>-1</v>
      </c>
      <c r="G251" s="35">
        <v>-1</v>
      </c>
      <c r="H251" s="35">
        <v>-1</v>
      </c>
      <c r="I251" s="35">
        <v>-1</v>
      </c>
      <c r="J251" s="35">
        <v>-1</v>
      </c>
      <c r="K251" s="35">
        <v>-1</v>
      </c>
      <c r="L251" s="35">
        <v>-1</v>
      </c>
      <c r="M251" s="35">
        <v>-1</v>
      </c>
      <c r="N251" s="35">
        <v>-1</v>
      </c>
      <c r="O251" s="35">
        <v>-1</v>
      </c>
      <c r="P251" s="35">
        <v>-1</v>
      </c>
      <c r="Q251" s="35">
        <v>-1</v>
      </c>
      <c r="S251" s="5" t="str">
        <f>IF(_xlfn.XLOOKUP(StatTbl[[#This Row],[Join]],TargetSlots[Join],TargetSlots[Join],"Не найдено")&lt;&gt;"Не найдено","Ищем","Не ищем")</f>
        <v>Не ищем</v>
      </c>
      <c r="T251" s="4" t="str">
        <f ca="1">IF(COUNTIFS(OFFSET(D251:$Q251,0,SearchDay-1,,15-SearchDay),"&lt;="&amp; ValidC,OFFSET(D251:$Q251,0,SearchDay-1,,15-SearchDay),"&gt;-1")&gt;0,"Есть слот!","Ничего")</f>
        <v>Ничего</v>
      </c>
      <c r="U251">
        <f ca="1">IF(S251="Ищем",IF(StatTbl[[#This Row],[Доступность]]="Есть слот!",COUNTIFS(OFFSET(D251:$Q251,0,SearchDay-1),"&lt;="&amp; ValidC,OFFSET(D251:$Q251,0,SearchDay-1),"&gt;-1"),0),0)</f>
        <v>0</v>
      </c>
      <c r="V251" t="str" cm="1">
        <f t="array" aca="1" ref="V251" ca="1">IF(StatTbl[[#This Row],[Кол-во слотов]]&gt;0, B251&amp;" "&amp;C251&amp;" "&amp;_xlfn.TEXTJOIN(", ",FALSE,TEXT(_xlfn._xlws.FILTER(OFFSET($D$8:$Q$8,0,SearchDay-1,,15-SearchDay),(OFFSET(D251:Q251,0,SearchDay-1,,15-SearchDay)&gt;-1)*(OFFSET(D251:Q251,0,SearchDay-1,,15-SearchDay)&lt;=ValidC)),"ДД/ММ")),"")</f>
        <v/>
      </c>
      <c r="W251" t="str">
        <f t="shared" si="3"/>
        <v>СЦ Нижний НовгородСуперсейф</v>
      </c>
      <c r="Y251" s="10"/>
      <c r="Z251" s="10"/>
      <c r="AA251" s="10"/>
      <c r="AB251" s="10"/>
    </row>
    <row r="252" spans="2:28" x14ac:dyDescent="0.45">
      <c r="B252" s="12" t="s">
        <v>66</v>
      </c>
      <c r="C252" s="12" t="s">
        <v>111</v>
      </c>
      <c r="D252" s="35">
        <v>-1</v>
      </c>
      <c r="E252" s="35">
        <v>-1</v>
      </c>
      <c r="F252" s="35">
        <v>-1</v>
      </c>
      <c r="G252" s="35">
        <v>-1</v>
      </c>
      <c r="H252" s="35">
        <v>-1</v>
      </c>
      <c r="I252" s="35">
        <v>-1</v>
      </c>
      <c r="J252" s="35">
        <v>-1</v>
      </c>
      <c r="K252" s="35">
        <v>-1</v>
      </c>
      <c r="L252" s="35">
        <v>-1</v>
      </c>
      <c r="M252" s="35">
        <v>-1</v>
      </c>
      <c r="N252" s="35">
        <v>-1</v>
      </c>
      <c r="O252" s="35">
        <v>-1</v>
      </c>
      <c r="P252" s="35">
        <v>-1</v>
      </c>
      <c r="Q252" s="35">
        <v>-1</v>
      </c>
      <c r="S252" s="5" t="str">
        <f>IF(_xlfn.XLOOKUP(StatTbl[[#This Row],[Join]],TargetSlots[Join],TargetSlots[Join],"Не найдено")&lt;&gt;"Не найдено","Ищем","Не ищем")</f>
        <v>Не ищем</v>
      </c>
      <c r="T252" s="4" t="str">
        <f ca="1">IF(COUNTIFS(OFFSET(D252:$Q252,0,SearchDay-1,,15-SearchDay),"&lt;="&amp; ValidC,OFFSET(D252:$Q252,0,SearchDay-1,,15-SearchDay),"&gt;-1")&gt;0,"Есть слот!","Ничего")</f>
        <v>Ничего</v>
      </c>
      <c r="U252">
        <f ca="1">IF(S252="Ищем",IF(StatTbl[[#This Row],[Доступность]]="Есть слот!",COUNTIFS(OFFSET(D252:$Q252,0,SearchDay-1),"&lt;="&amp; ValidC,OFFSET(D252:$Q252,0,SearchDay-1),"&gt;-1"),0),0)</f>
        <v>0</v>
      </c>
      <c r="V252" t="str" cm="1">
        <f t="array" aca="1" ref="V252" ca="1">IF(StatTbl[[#This Row],[Кол-во слотов]]&gt;0, B252&amp;" "&amp;C252&amp;" "&amp;_xlfn.TEXTJOIN(", ",FALSE,TEXT(_xlfn._xlws.FILTER(OFFSET($D$8:$Q$8,0,SearchDay-1,,15-SearchDay),(OFFSET(D252:Q252,0,SearchDay-1,,15-SearchDay)&gt;-1)*(OFFSET(D252:Q252,0,SearchDay-1,,15-SearchDay)&lt;=ValidC)),"ДД/ММ")),"")</f>
        <v/>
      </c>
      <c r="W252" t="str">
        <f t="shared" si="3"/>
        <v>СЦ Нижний НовгородQR-поставка</v>
      </c>
      <c r="Y252" s="10"/>
      <c r="Z252" s="10"/>
      <c r="AA252" s="10"/>
      <c r="AB252" s="10"/>
    </row>
    <row r="253" spans="2:28" x14ac:dyDescent="0.45">
      <c r="B253" s="12" t="s">
        <v>67</v>
      </c>
      <c r="C253" s="12" t="s">
        <v>109</v>
      </c>
      <c r="D253" s="35">
        <v>10</v>
      </c>
      <c r="E253" s="35">
        <v>10</v>
      </c>
      <c r="F253" s="35">
        <v>10</v>
      </c>
      <c r="G253" s="35">
        <v>20</v>
      </c>
      <c r="H253" s="35">
        <v>10</v>
      </c>
      <c r="I253" s="35">
        <v>20</v>
      </c>
      <c r="J253" s="35">
        <v>20</v>
      </c>
      <c r="K253" s="35">
        <v>10</v>
      </c>
      <c r="L253" s="35">
        <v>20</v>
      </c>
      <c r="M253" s="35">
        <v>20</v>
      </c>
      <c r="N253" s="35">
        <v>10</v>
      </c>
      <c r="O253" s="35">
        <v>20</v>
      </c>
      <c r="P253" s="35">
        <v>10</v>
      </c>
      <c r="Q253" s="35">
        <v>-1</v>
      </c>
      <c r="S253" s="5" t="str">
        <f>IF(_xlfn.XLOOKUP(StatTbl[[#This Row],[Join]],TargetSlots[Join],TargetSlots[Join],"Не найдено")&lt;&gt;"Не найдено","Ищем","Не ищем")</f>
        <v>Не ищем</v>
      </c>
      <c r="T253" s="4" t="str">
        <f ca="1">IF(COUNTIFS(OFFSET(D253:$Q253,0,SearchDay-1,,15-SearchDay),"&lt;="&amp; ValidC,OFFSET(D253:$Q253,0,SearchDay-1,,15-SearchDay),"&gt;-1")&gt;0,"Есть слот!","Ничего")</f>
        <v>Ничего</v>
      </c>
      <c r="U253">
        <f ca="1">IF(S253="Ищем",IF(StatTbl[[#This Row],[Доступность]]="Есть слот!",COUNTIFS(OFFSET(D253:$Q253,0,SearchDay-1),"&lt;="&amp; ValidC,OFFSET(D253:$Q253,0,SearchDay-1),"&gt;-1"),0),0)</f>
        <v>0</v>
      </c>
      <c r="V253" t="str" cm="1">
        <f t="array" aca="1" ref="V253" ca="1">IF(StatTbl[[#This Row],[Кол-во слотов]]&gt;0, B253&amp;" "&amp;C253&amp;" "&amp;_xlfn.TEXTJOIN(", ",FALSE,TEXT(_xlfn._xlws.FILTER(OFFSET($D$8:$Q$8,0,SearchDay-1,,15-SearchDay),(OFFSET(D253:Q253,0,SearchDay-1,,15-SearchDay)&gt;-1)*(OFFSET(D253:Q253,0,SearchDay-1,,15-SearchDay)&lt;=ValidC)),"ДД/ММ")),"")</f>
        <v/>
      </c>
      <c r="W253" t="str">
        <f t="shared" si="3"/>
        <v>СЦ Нижний ТагилКороба</v>
      </c>
      <c r="Y253" s="10"/>
      <c r="Z253" s="10"/>
      <c r="AA253" s="10"/>
      <c r="AB253" s="10"/>
    </row>
    <row r="254" spans="2:28" x14ac:dyDescent="0.45">
      <c r="B254" s="12" t="s">
        <v>67</v>
      </c>
      <c r="C254" s="12" t="s">
        <v>110</v>
      </c>
      <c r="D254" s="35">
        <v>-1</v>
      </c>
      <c r="E254" s="35">
        <v>-1</v>
      </c>
      <c r="F254" s="35">
        <v>-1</v>
      </c>
      <c r="G254" s="35">
        <v>-1</v>
      </c>
      <c r="H254" s="35">
        <v>-1</v>
      </c>
      <c r="I254" s="35">
        <v>-1</v>
      </c>
      <c r="J254" s="35">
        <v>-1</v>
      </c>
      <c r="K254" s="35">
        <v>-1</v>
      </c>
      <c r="L254" s="35">
        <v>-1</v>
      </c>
      <c r="M254" s="35">
        <v>-1</v>
      </c>
      <c r="N254" s="35">
        <v>-1</v>
      </c>
      <c r="O254" s="35">
        <v>-1</v>
      </c>
      <c r="P254" s="35">
        <v>-1</v>
      </c>
      <c r="Q254" s="35">
        <v>-1</v>
      </c>
      <c r="S254" s="5" t="str">
        <f>IF(_xlfn.XLOOKUP(StatTbl[[#This Row],[Join]],TargetSlots[Join],TargetSlots[Join],"Не найдено")&lt;&gt;"Не найдено","Ищем","Не ищем")</f>
        <v>Не ищем</v>
      </c>
      <c r="T254" s="4" t="str">
        <f ca="1">IF(COUNTIFS(OFFSET(D254:$Q254,0,SearchDay-1,,15-SearchDay),"&lt;="&amp; ValidC,OFFSET(D254:$Q254,0,SearchDay-1,,15-SearchDay),"&gt;-1")&gt;0,"Есть слот!","Ничего")</f>
        <v>Ничего</v>
      </c>
      <c r="U254">
        <f ca="1">IF(S254="Ищем",IF(StatTbl[[#This Row],[Доступность]]="Есть слот!",COUNTIFS(OFFSET(D254:$Q254,0,SearchDay-1),"&lt;="&amp; ValidC,OFFSET(D254:$Q254,0,SearchDay-1),"&gt;-1"),0),0)</f>
        <v>0</v>
      </c>
      <c r="V254" t="str" cm="1">
        <f t="array" aca="1" ref="V254" ca="1">IF(StatTbl[[#This Row],[Кол-во слотов]]&gt;0, B254&amp;" "&amp;C254&amp;" "&amp;_xlfn.TEXTJOIN(", ",FALSE,TEXT(_xlfn._xlws.FILTER(OFFSET($D$8:$Q$8,0,SearchDay-1,,15-SearchDay),(OFFSET(D254:Q254,0,SearchDay-1,,15-SearchDay)&gt;-1)*(OFFSET(D254:Q254,0,SearchDay-1,,15-SearchDay)&lt;=ValidC)),"ДД/ММ")),"")</f>
        <v/>
      </c>
      <c r="W254" t="str">
        <f t="shared" si="3"/>
        <v>СЦ Нижний ТагилМонопаллеты</v>
      </c>
      <c r="Y254" s="10"/>
      <c r="Z254" s="10"/>
      <c r="AA254" s="10"/>
      <c r="AB254" s="10"/>
    </row>
    <row r="255" spans="2:28" x14ac:dyDescent="0.45">
      <c r="B255" s="12" t="s">
        <v>67</v>
      </c>
      <c r="C255" s="12" t="s">
        <v>6</v>
      </c>
      <c r="D255" s="35">
        <v>-1</v>
      </c>
      <c r="E255" s="35">
        <v>-1</v>
      </c>
      <c r="F255" s="35">
        <v>-1</v>
      </c>
      <c r="G255" s="35">
        <v>-1</v>
      </c>
      <c r="H255" s="35">
        <v>-1</v>
      </c>
      <c r="I255" s="35">
        <v>-1</v>
      </c>
      <c r="J255" s="35">
        <v>-1</v>
      </c>
      <c r="K255" s="35">
        <v>-1</v>
      </c>
      <c r="L255" s="35">
        <v>-1</v>
      </c>
      <c r="M255" s="35">
        <v>-1</v>
      </c>
      <c r="N255" s="35">
        <v>-1</v>
      </c>
      <c r="O255" s="35">
        <v>-1</v>
      </c>
      <c r="P255" s="35">
        <v>-1</v>
      </c>
      <c r="Q255" s="35">
        <v>-1</v>
      </c>
      <c r="S255" s="5" t="str">
        <f>IF(_xlfn.XLOOKUP(StatTbl[[#This Row],[Join]],TargetSlots[Join],TargetSlots[Join],"Не найдено")&lt;&gt;"Не найдено","Ищем","Не ищем")</f>
        <v>Не ищем</v>
      </c>
      <c r="T255" s="4" t="str">
        <f ca="1">IF(COUNTIFS(OFFSET(D255:$Q255,0,SearchDay-1,,15-SearchDay),"&lt;="&amp; ValidC,OFFSET(D255:$Q255,0,SearchDay-1,,15-SearchDay),"&gt;-1")&gt;0,"Есть слот!","Ничего")</f>
        <v>Ничего</v>
      </c>
      <c r="U255">
        <f ca="1">IF(S255="Ищем",IF(StatTbl[[#This Row],[Доступность]]="Есть слот!",COUNTIFS(OFFSET(D255:$Q255,0,SearchDay-1),"&lt;="&amp; ValidC,OFFSET(D255:$Q255,0,SearchDay-1),"&gt;-1"),0),0)</f>
        <v>0</v>
      </c>
      <c r="V255" t="str" cm="1">
        <f t="array" aca="1" ref="V255" ca="1">IF(StatTbl[[#This Row],[Кол-во слотов]]&gt;0, B255&amp;" "&amp;C255&amp;" "&amp;_xlfn.TEXTJOIN(", ",FALSE,TEXT(_xlfn._xlws.FILTER(OFFSET($D$8:$Q$8,0,SearchDay-1,,15-SearchDay),(OFFSET(D255:Q255,0,SearchDay-1,,15-SearchDay)&gt;-1)*(OFFSET(D255:Q255,0,SearchDay-1,,15-SearchDay)&lt;=ValidC)),"ДД/ММ")),"")</f>
        <v/>
      </c>
      <c r="W255" t="str">
        <f t="shared" si="3"/>
        <v>СЦ Нижний ТагилСуперсейф</v>
      </c>
      <c r="Y255" s="10"/>
      <c r="Z255" s="10"/>
      <c r="AA255" s="10"/>
      <c r="AB255" s="10"/>
    </row>
    <row r="256" spans="2:28" x14ac:dyDescent="0.45">
      <c r="B256" s="12" t="s">
        <v>67</v>
      </c>
      <c r="C256" s="12" t="s">
        <v>111</v>
      </c>
      <c r="D256" s="35">
        <v>20</v>
      </c>
      <c r="E256" s="35">
        <v>20</v>
      </c>
      <c r="F256" s="35">
        <v>20</v>
      </c>
      <c r="G256" s="35">
        <v>20</v>
      </c>
      <c r="H256" s="35">
        <v>20</v>
      </c>
      <c r="I256" s="35">
        <v>20</v>
      </c>
      <c r="J256" s="35">
        <v>20</v>
      </c>
      <c r="K256" s="35">
        <v>20</v>
      </c>
      <c r="L256" s="35">
        <v>20</v>
      </c>
      <c r="M256" s="35">
        <v>20</v>
      </c>
      <c r="N256" s="35">
        <v>20</v>
      </c>
      <c r="O256" s="35">
        <v>-1</v>
      </c>
      <c r="P256" s="35">
        <v>-1</v>
      </c>
      <c r="Q256" s="35">
        <v>-1</v>
      </c>
      <c r="S256" s="5" t="str">
        <f>IF(_xlfn.XLOOKUP(StatTbl[[#This Row],[Join]],TargetSlots[Join],TargetSlots[Join],"Не найдено")&lt;&gt;"Не найдено","Ищем","Не ищем")</f>
        <v>Не ищем</v>
      </c>
      <c r="T256" s="4" t="str">
        <f ca="1">IF(COUNTIFS(OFFSET(D256:$Q256,0,SearchDay-1,,15-SearchDay),"&lt;="&amp; ValidC,OFFSET(D256:$Q256,0,SearchDay-1,,15-SearchDay),"&gt;-1")&gt;0,"Есть слот!","Ничего")</f>
        <v>Ничего</v>
      </c>
      <c r="U256">
        <f ca="1">IF(S256="Ищем",IF(StatTbl[[#This Row],[Доступность]]="Есть слот!",COUNTIFS(OFFSET(D256:$Q256,0,SearchDay-1),"&lt;="&amp; ValidC,OFFSET(D256:$Q256,0,SearchDay-1),"&gt;-1"),0),0)</f>
        <v>0</v>
      </c>
      <c r="V256" t="str" cm="1">
        <f t="array" aca="1" ref="V256" ca="1">IF(StatTbl[[#This Row],[Кол-во слотов]]&gt;0, B256&amp;" "&amp;C256&amp;" "&amp;_xlfn.TEXTJOIN(", ",FALSE,TEXT(_xlfn._xlws.FILTER(OFFSET($D$8:$Q$8,0,SearchDay-1,,15-SearchDay),(OFFSET(D256:Q256,0,SearchDay-1,,15-SearchDay)&gt;-1)*(OFFSET(D256:Q256,0,SearchDay-1,,15-SearchDay)&lt;=ValidC)),"ДД/ММ")),"")</f>
        <v/>
      </c>
      <c r="W256" t="str">
        <f t="shared" si="3"/>
        <v>СЦ Нижний ТагилQR-поставка</v>
      </c>
      <c r="Y256" s="10"/>
      <c r="Z256" s="10"/>
      <c r="AA256" s="10"/>
      <c r="AB256" s="10"/>
    </row>
    <row r="257" spans="2:28" x14ac:dyDescent="0.45">
      <c r="B257" s="12" t="s">
        <v>68</v>
      </c>
      <c r="C257" s="12" t="s">
        <v>109</v>
      </c>
      <c r="D257" s="35">
        <v>-1</v>
      </c>
      <c r="E257" s="35">
        <v>-1</v>
      </c>
      <c r="F257" s="35">
        <v>-1</v>
      </c>
      <c r="G257" s="35">
        <v>-1</v>
      </c>
      <c r="H257" s="35">
        <v>-1</v>
      </c>
      <c r="I257" s="35">
        <v>-1</v>
      </c>
      <c r="J257" s="35">
        <v>-1</v>
      </c>
      <c r="K257" s="35">
        <v>-1</v>
      </c>
      <c r="L257" s="35">
        <v>-1</v>
      </c>
      <c r="M257" s="35">
        <v>-1</v>
      </c>
      <c r="N257" s="35">
        <v>-1</v>
      </c>
      <c r="O257" s="35">
        <v>-1</v>
      </c>
      <c r="P257" s="35">
        <v>-1</v>
      </c>
      <c r="Q257" s="35">
        <v>-1</v>
      </c>
      <c r="S257" s="5" t="str">
        <f>IF(_xlfn.XLOOKUP(StatTbl[[#This Row],[Join]],TargetSlots[Join],TargetSlots[Join],"Не найдено")&lt;&gt;"Не найдено","Ищем","Не ищем")</f>
        <v>Не ищем</v>
      </c>
      <c r="T257" s="4" t="str">
        <f ca="1">IF(COUNTIFS(OFFSET(D257:$Q257,0,SearchDay-1,,15-SearchDay),"&lt;="&amp; ValidC,OFFSET(D257:$Q257,0,SearchDay-1,,15-SearchDay),"&gt;-1")&gt;0,"Есть слот!","Ничего")</f>
        <v>Ничего</v>
      </c>
      <c r="U257">
        <f ca="1">IF(S257="Ищем",IF(StatTbl[[#This Row],[Доступность]]="Есть слот!",COUNTIFS(OFFSET(D257:$Q257,0,SearchDay-1),"&lt;="&amp; ValidC,OFFSET(D257:$Q257,0,SearchDay-1),"&gt;-1"),0),0)</f>
        <v>0</v>
      </c>
      <c r="V257" t="str" cm="1">
        <f t="array" aca="1" ref="V257" ca="1">IF(StatTbl[[#This Row],[Кол-во слотов]]&gt;0, B257&amp;" "&amp;C257&amp;" "&amp;_xlfn.TEXTJOIN(", ",FALSE,TEXT(_xlfn._xlws.FILTER(OFFSET($D$8:$Q$8,0,SearchDay-1,,15-SearchDay),(OFFSET(D257:Q257,0,SearchDay-1,,15-SearchDay)&gt;-1)*(OFFSET(D257:Q257,0,SearchDay-1,,15-SearchDay)&lt;=ValidC)),"ДД/ММ")),"")</f>
        <v/>
      </c>
      <c r="W257" t="str">
        <f t="shared" si="3"/>
        <v>СЦ НовокузнецкКороба</v>
      </c>
      <c r="Y257" s="10"/>
      <c r="Z257" s="10"/>
      <c r="AA257" s="10"/>
      <c r="AB257" s="10"/>
    </row>
    <row r="258" spans="2:28" x14ac:dyDescent="0.45">
      <c r="B258" s="12" t="s">
        <v>68</v>
      </c>
      <c r="C258" s="12" t="s">
        <v>110</v>
      </c>
      <c r="D258" s="35">
        <v>-1</v>
      </c>
      <c r="E258" s="35">
        <v>-1</v>
      </c>
      <c r="F258" s="35">
        <v>-1</v>
      </c>
      <c r="G258" s="35">
        <v>-1</v>
      </c>
      <c r="H258" s="35">
        <v>-1</v>
      </c>
      <c r="I258" s="35">
        <v>-1</v>
      </c>
      <c r="J258" s="35">
        <v>-1</v>
      </c>
      <c r="K258" s="35">
        <v>-1</v>
      </c>
      <c r="L258" s="35">
        <v>-1</v>
      </c>
      <c r="M258" s="35">
        <v>-1</v>
      </c>
      <c r="N258" s="35">
        <v>-1</v>
      </c>
      <c r="O258" s="35">
        <v>-1</v>
      </c>
      <c r="P258" s="35">
        <v>-1</v>
      </c>
      <c r="Q258" s="35">
        <v>-1</v>
      </c>
      <c r="S258" s="5" t="str">
        <f>IF(_xlfn.XLOOKUP(StatTbl[[#This Row],[Join]],TargetSlots[Join],TargetSlots[Join],"Не найдено")&lt;&gt;"Не найдено","Ищем","Не ищем")</f>
        <v>Не ищем</v>
      </c>
      <c r="T258" s="4" t="str">
        <f ca="1">IF(COUNTIFS(OFFSET(D258:$Q258,0,SearchDay-1,,15-SearchDay),"&lt;="&amp; ValidC,OFFSET(D258:$Q258,0,SearchDay-1,,15-SearchDay),"&gt;-1")&gt;0,"Есть слот!","Ничего")</f>
        <v>Ничего</v>
      </c>
      <c r="U258">
        <f ca="1">IF(S258="Ищем",IF(StatTbl[[#This Row],[Доступность]]="Есть слот!",COUNTIFS(OFFSET(D258:$Q258,0,SearchDay-1),"&lt;="&amp; ValidC,OFFSET(D258:$Q258,0,SearchDay-1),"&gt;-1"),0),0)</f>
        <v>0</v>
      </c>
      <c r="V258" t="str" cm="1">
        <f t="array" aca="1" ref="V258" ca="1">IF(StatTbl[[#This Row],[Кол-во слотов]]&gt;0, B258&amp;" "&amp;C258&amp;" "&amp;_xlfn.TEXTJOIN(", ",FALSE,TEXT(_xlfn._xlws.FILTER(OFFSET($D$8:$Q$8,0,SearchDay-1,,15-SearchDay),(OFFSET(D258:Q258,0,SearchDay-1,,15-SearchDay)&gt;-1)*(OFFSET(D258:Q258,0,SearchDay-1,,15-SearchDay)&lt;=ValidC)),"ДД/ММ")),"")</f>
        <v/>
      </c>
      <c r="W258" t="str">
        <f t="shared" si="3"/>
        <v>СЦ НовокузнецкМонопаллеты</v>
      </c>
      <c r="Y258" s="10"/>
      <c r="Z258" s="10"/>
      <c r="AA258" s="10"/>
      <c r="AB258" s="10"/>
    </row>
    <row r="259" spans="2:28" x14ac:dyDescent="0.45">
      <c r="B259" s="12" t="s">
        <v>68</v>
      </c>
      <c r="C259" s="12" t="s">
        <v>6</v>
      </c>
      <c r="D259" s="35">
        <v>-1</v>
      </c>
      <c r="E259" s="35">
        <v>-1</v>
      </c>
      <c r="F259" s="35">
        <v>-1</v>
      </c>
      <c r="G259" s="35">
        <v>-1</v>
      </c>
      <c r="H259" s="35">
        <v>-1</v>
      </c>
      <c r="I259" s="35">
        <v>-1</v>
      </c>
      <c r="J259" s="35">
        <v>-1</v>
      </c>
      <c r="K259" s="35">
        <v>-1</v>
      </c>
      <c r="L259" s="35">
        <v>-1</v>
      </c>
      <c r="M259" s="35">
        <v>-1</v>
      </c>
      <c r="N259" s="35">
        <v>-1</v>
      </c>
      <c r="O259" s="35">
        <v>-1</v>
      </c>
      <c r="P259" s="35">
        <v>-1</v>
      </c>
      <c r="Q259" s="35">
        <v>-1</v>
      </c>
      <c r="S259" s="5" t="str">
        <f>IF(_xlfn.XLOOKUP(StatTbl[[#This Row],[Join]],TargetSlots[Join],TargetSlots[Join],"Не найдено")&lt;&gt;"Не найдено","Ищем","Не ищем")</f>
        <v>Не ищем</v>
      </c>
      <c r="T259" s="4" t="str">
        <f ca="1">IF(COUNTIFS(OFFSET(D259:$Q259,0,SearchDay-1,,15-SearchDay),"&lt;="&amp; ValidC,OFFSET(D259:$Q259,0,SearchDay-1,,15-SearchDay),"&gt;-1")&gt;0,"Есть слот!","Ничего")</f>
        <v>Ничего</v>
      </c>
      <c r="U259">
        <f ca="1">IF(S259="Ищем",IF(StatTbl[[#This Row],[Доступность]]="Есть слот!",COUNTIFS(OFFSET(D259:$Q259,0,SearchDay-1),"&lt;="&amp; ValidC,OFFSET(D259:$Q259,0,SearchDay-1),"&gt;-1"),0),0)</f>
        <v>0</v>
      </c>
      <c r="V259" t="str" cm="1">
        <f t="array" aca="1" ref="V259" ca="1">IF(StatTbl[[#This Row],[Кол-во слотов]]&gt;0, B259&amp;" "&amp;C259&amp;" "&amp;_xlfn.TEXTJOIN(", ",FALSE,TEXT(_xlfn._xlws.FILTER(OFFSET($D$8:$Q$8,0,SearchDay-1,,15-SearchDay),(OFFSET(D259:Q259,0,SearchDay-1,,15-SearchDay)&gt;-1)*(OFFSET(D259:Q259,0,SearchDay-1,,15-SearchDay)&lt;=ValidC)),"ДД/ММ")),"")</f>
        <v/>
      </c>
      <c r="W259" t="str">
        <f t="shared" si="3"/>
        <v>СЦ НовокузнецкСуперсейф</v>
      </c>
      <c r="Y259" s="10"/>
      <c r="Z259" s="10"/>
      <c r="AA259" s="10"/>
      <c r="AB259" s="10"/>
    </row>
    <row r="260" spans="2:28" x14ac:dyDescent="0.45">
      <c r="B260" s="12" t="s">
        <v>68</v>
      </c>
      <c r="C260" s="12" t="s">
        <v>111</v>
      </c>
      <c r="D260" s="35">
        <v>-1</v>
      </c>
      <c r="E260" s="35">
        <v>-1</v>
      </c>
      <c r="F260" s="35">
        <v>-1</v>
      </c>
      <c r="G260" s="35">
        <v>-1</v>
      </c>
      <c r="H260" s="35">
        <v>-1</v>
      </c>
      <c r="I260" s="35">
        <v>-1</v>
      </c>
      <c r="J260" s="35">
        <v>-1</v>
      </c>
      <c r="K260" s="35">
        <v>-1</v>
      </c>
      <c r="L260" s="35">
        <v>-1</v>
      </c>
      <c r="M260" s="35">
        <v>-1</v>
      </c>
      <c r="N260" s="35">
        <v>-1</v>
      </c>
      <c r="O260" s="35">
        <v>-1</v>
      </c>
      <c r="P260" s="35">
        <v>-1</v>
      </c>
      <c r="Q260" s="35">
        <v>-1</v>
      </c>
      <c r="S260" s="5" t="str">
        <f>IF(_xlfn.XLOOKUP(StatTbl[[#This Row],[Join]],TargetSlots[Join],TargetSlots[Join],"Не найдено")&lt;&gt;"Не найдено","Ищем","Не ищем")</f>
        <v>Не ищем</v>
      </c>
      <c r="T260" s="4" t="str">
        <f ca="1">IF(COUNTIFS(OFFSET(D260:$Q260,0,SearchDay-1,,15-SearchDay),"&lt;="&amp; ValidC,OFFSET(D260:$Q260,0,SearchDay-1,,15-SearchDay),"&gt;-1")&gt;0,"Есть слот!","Ничего")</f>
        <v>Ничего</v>
      </c>
      <c r="U260">
        <f ca="1">IF(S260="Ищем",IF(StatTbl[[#This Row],[Доступность]]="Есть слот!",COUNTIFS(OFFSET(D260:$Q260,0,SearchDay-1),"&lt;="&amp; ValidC,OFFSET(D260:$Q260,0,SearchDay-1),"&gt;-1"),0),0)</f>
        <v>0</v>
      </c>
      <c r="V260" t="str" cm="1">
        <f t="array" aca="1" ref="V260" ca="1">IF(StatTbl[[#This Row],[Кол-во слотов]]&gt;0, B260&amp;" "&amp;C260&amp;" "&amp;_xlfn.TEXTJOIN(", ",FALSE,TEXT(_xlfn._xlws.FILTER(OFFSET($D$8:$Q$8,0,SearchDay-1,,15-SearchDay),(OFFSET(D260:Q260,0,SearchDay-1,,15-SearchDay)&gt;-1)*(OFFSET(D260:Q260,0,SearchDay-1,,15-SearchDay)&lt;=ValidC)),"ДД/ММ")),"")</f>
        <v/>
      </c>
      <c r="W260" t="str">
        <f t="shared" si="3"/>
        <v>СЦ НовокузнецкQR-поставка</v>
      </c>
      <c r="Y260" s="10"/>
      <c r="Z260" s="10"/>
      <c r="AA260" s="10"/>
      <c r="AB260" s="10"/>
    </row>
    <row r="261" spans="2:28" x14ac:dyDescent="0.45">
      <c r="B261" s="12" t="s">
        <v>69</v>
      </c>
      <c r="C261" s="12" t="s">
        <v>109</v>
      </c>
      <c r="D261" s="35">
        <v>10</v>
      </c>
      <c r="E261" s="35">
        <v>10</v>
      </c>
      <c r="F261" s="35">
        <v>20</v>
      </c>
      <c r="G261" s="35">
        <v>20</v>
      </c>
      <c r="H261" s="35">
        <v>20</v>
      </c>
      <c r="I261" s="35">
        <v>20</v>
      </c>
      <c r="J261" s="35">
        <v>20</v>
      </c>
      <c r="K261" s="35">
        <v>20</v>
      </c>
      <c r="L261" s="35">
        <v>20</v>
      </c>
      <c r="M261" s="35">
        <v>20</v>
      </c>
      <c r="N261" s="35">
        <v>20</v>
      </c>
      <c r="O261" s="35">
        <v>20</v>
      </c>
      <c r="P261" s="35">
        <v>20</v>
      </c>
      <c r="Q261" s="35">
        <v>-1</v>
      </c>
      <c r="S261" s="5" t="str">
        <f>IF(_xlfn.XLOOKUP(StatTbl[[#This Row],[Join]],TargetSlots[Join],TargetSlots[Join],"Не найдено")&lt;&gt;"Не найдено","Ищем","Не ищем")</f>
        <v>Не ищем</v>
      </c>
      <c r="T261" s="4" t="str">
        <f ca="1">IF(COUNTIFS(OFFSET(D261:$Q261,0,SearchDay-1,,15-SearchDay),"&lt;="&amp; ValidC,OFFSET(D261:$Q261,0,SearchDay-1,,15-SearchDay),"&gt;-1")&gt;0,"Есть слот!","Ничего")</f>
        <v>Ничего</v>
      </c>
      <c r="U261">
        <f ca="1">IF(S261="Ищем",IF(StatTbl[[#This Row],[Доступность]]="Есть слот!",COUNTIFS(OFFSET(D261:$Q261,0,SearchDay-1),"&lt;="&amp; ValidC,OFFSET(D261:$Q261,0,SearchDay-1),"&gt;-1"),0),0)</f>
        <v>0</v>
      </c>
      <c r="V261" t="str" cm="1">
        <f t="array" aca="1" ref="V261" ca="1">IF(StatTbl[[#This Row],[Кол-во слотов]]&gt;0, B261&amp;" "&amp;C261&amp;" "&amp;_xlfn.TEXTJOIN(", ",FALSE,TEXT(_xlfn._xlws.FILTER(OFFSET($D$8:$Q$8,0,SearchDay-1,,15-SearchDay),(OFFSET(D261:Q261,0,SearchDay-1,,15-SearchDay)&gt;-1)*(OFFSET(D261:Q261,0,SearchDay-1,,15-SearchDay)&lt;=ValidC)),"ДД/ММ")),"")</f>
        <v/>
      </c>
      <c r="W261" t="str">
        <f t="shared" si="3"/>
        <v>СЦ Новосибирск ПасечнаяКороба</v>
      </c>
      <c r="Y261" s="10"/>
      <c r="Z261" s="10"/>
      <c r="AA261" s="10"/>
      <c r="AB261" s="10"/>
    </row>
    <row r="262" spans="2:28" x14ac:dyDescent="0.45">
      <c r="B262" s="12" t="s">
        <v>69</v>
      </c>
      <c r="C262" s="12" t="s">
        <v>110</v>
      </c>
      <c r="D262" s="35">
        <v>-1</v>
      </c>
      <c r="E262" s="35">
        <v>-1</v>
      </c>
      <c r="F262" s="35">
        <v>-1</v>
      </c>
      <c r="G262" s="35">
        <v>-1</v>
      </c>
      <c r="H262" s="35">
        <v>-1</v>
      </c>
      <c r="I262" s="35">
        <v>-1</v>
      </c>
      <c r="J262" s="35">
        <v>-1</v>
      </c>
      <c r="K262" s="35">
        <v>-1</v>
      </c>
      <c r="L262" s="35">
        <v>-1</v>
      </c>
      <c r="M262" s="35">
        <v>-1</v>
      </c>
      <c r="N262" s="35">
        <v>-1</v>
      </c>
      <c r="O262" s="35">
        <v>-1</v>
      </c>
      <c r="P262" s="35">
        <v>-1</v>
      </c>
      <c r="Q262" s="35">
        <v>-1</v>
      </c>
      <c r="S262" s="5" t="str">
        <f>IF(_xlfn.XLOOKUP(StatTbl[[#This Row],[Join]],TargetSlots[Join],TargetSlots[Join],"Не найдено")&lt;&gt;"Не найдено","Ищем","Не ищем")</f>
        <v>Не ищем</v>
      </c>
      <c r="T262" s="4" t="str">
        <f ca="1">IF(COUNTIFS(OFFSET(D262:$Q262,0,SearchDay-1,,15-SearchDay),"&lt;="&amp; ValidC,OFFSET(D262:$Q262,0,SearchDay-1,,15-SearchDay),"&gt;-1")&gt;0,"Есть слот!","Ничего")</f>
        <v>Ничего</v>
      </c>
      <c r="U262">
        <f ca="1">IF(S262="Ищем",IF(StatTbl[[#This Row],[Доступность]]="Есть слот!",COUNTIFS(OFFSET(D262:$Q262,0,SearchDay-1),"&lt;="&amp; ValidC,OFFSET(D262:$Q262,0,SearchDay-1),"&gt;-1"),0),0)</f>
        <v>0</v>
      </c>
      <c r="V262" t="str" cm="1">
        <f t="array" aca="1" ref="V262" ca="1">IF(StatTbl[[#This Row],[Кол-во слотов]]&gt;0, B262&amp;" "&amp;C262&amp;" "&amp;_xlfn.TEXTJOIN(", ",FALSE,TEXT(_xlfn._xlws.FILTER(OFFSET($D$8:$Q$8,0,SearchDay-1,,15-SearchDay),(OFFSET(D262:Q262,0,SearchDay-1,,15-SearchDay)&gt;-1)*(OFFSET(D262:Q262,0,SearchDay-1,,15-SearchDay)&lt;=ValidC)),"ДД/ММ")),"")</f>
        <v/>
      </c>
      <c r="W262" t="str">
        <f t="shared" si="3"/>
        <v>СЦ Новосибирск ПасечнаяМонопаллеты</v>
      </c>
      <c r="Y262" s="10"/>
      <c r="Z262" s="10"/>
      <c r="AA262" s="10"/>
      <c r="AB262" s="10"/>
    </row>
    <row r="263" spans="2:28" x14ac:dyDescent="0.45">
      <c r="B263" s="12" t="s">
        <v>69</v>
      </c>
      <c r="C263" s="12" t="s">
        <v>6</v>
      </c>
      <c r="D263" s="35">
        <v>-1</v>
      </c>
      <c r="E263" s="35">
        <v>-1</v>
      </c>
      <c r="F263" s="35">
        <v>-1</v>
      </c>
      <c r="G263" s="35">
        <v>-1</v>
      </c>
      <c r="H263" s="35">
        <v>-1</v>
      </c>
      <c r="I263" s="35">
        <v>-1</v>
      </c>
      <c r="J263" s="35">
        <v>-1</v>
      </c>
      <c r="K263" s="35">
        <v>-1</v>
      </c>
      <c r="L263" s="35">
        <v>-1</v>
      </c>
      <c r="M263" s="35">
        <v>-1</v>
      </c>
      <c r="N263" s="35">
        <v>-1</v>
      </c>
      <c r="O263" s="35">
        <v>-1</v>
      </c>
      <c r="P263" s="35">
        <v>-1</v>
      </c>
      <c r="Q263" s="35">
        <v>-1</v>
      </c>
      <c r="S263" s="5" t="str">
        <f>IF(_xlfn.XLOOKUP(StatTbl[[#This Row],[Join]],TargetSlots[Join],TargetSlots[Join],"Не найдено")&lt;&gt;"Не найдено","Ищем","Не ищем")</f>
        <v>Не ищем</v>
      </c>
      <c r="T263" s="4" t="str">
        <f ca="1">IF(COUNTIFS(OFFSET(D263:$Q263,0,SearchDay-1,,15-SearchDay),"&lt;="&amp; ValidC,OFFSET(D263:$Q263,0,SearchDay-1,,15-SearchDay),"&gt;-1")&gt;0,"Есть слот!","Ничего")</f>
        <v>Ничего</v>
      </c>
      <c r="U263">
        <f ca="1">IF(S263="Ищем",IF(StatTbl[[#This Row],[Доступность]]="Есть слот!",COUNTIFS(OFFSET(D263:$Q263,0,SearchDay-1),"&lt;="&amp; ValidC,OFFSET(D263:$Q263,0,SearchDay-1),"&gt;-1"),0),0)</f>
        <v>0</v>
      </c>
      <c r="V263" t="str" cm="1">
        <f t="array" aca="1" ref="V263" ca="1">IF(StatTbl[[#This Row],[Кол-во слотов]]&gt;0, B263&amp;" "&amp;C263&amp;" "&amp;_xlfn.TEXTJOIN(", ",FALSE,TEXT(_xlfn._xlws.FILTER(OFFSET($D$8:$Q$8,0,SearchDay-1,,15-SearchDay),(OFFSET(D263:Q263,0,SearchDay-1,,15-SearchDay)&gt;-1)*(OFFSET(D263:Q263,0,SearchDay-1,,15-SearchDay)&lt;=ValidC)),"ДД/ММ")),"")</f>
        <v/>
      </c>
      <c r="W263" t="str">
        <f t="shared" si="3"/>
        <v>СЦ Новосибирск ПасечнаяСуперсейф</v>
      </c>
      <c r="Y263" s="10"/>
      <c r="Z263" s="10"/>
      <c r="AA263" s="10"/>
      <c r="AB263" s="10"/>
    </row>
    <row r="264" spans="2:28" x14ac:dyDescent="0.45">
      <c r="B264" s="12" t="s">
        <v>69</v>
      </c>
      <c r="C264" s="12" t="s">
        <v>111</v>
      </c>
      <c r="D264" s="35">
        <v>-1</v>
      </c>
      <c r="E264" s="35">
        <v>-1</v>
      </c>
      <c r="F264" s="35">
        <v>-1</v>
      </c>
      <c r="G264" s="35">
        <v>-1</v>
      </c>
      <c r="H264" s="35">
        <v>-1</v>
      </c>
      <c r="I264" s="35">
        <v>-1</v>
      </c>
      <c r="J264" s="35">
        <v>-1</v>
      </c>
      <c r="K264" s="35">
        <v>-1</v>
      </c>
      <c r="L264" s="35">
        <v>-1</v>
      </c>
      <c r="M264" s="35">
        <v>-1</v>
      </c>
      <c r="N264" s="35">
        <v>-1</v>
      </c>
      <c r="O264" s="35">
        <v>-1</v>
      </c>
      <c r="P264" s="35">
        <v>-1</v>
      </c>
      <c r="Q264" s="35">
        <v>-1</v>
      </c>
      <c r="S264" s="5" t="str">
        <f>IF(_xlfn.XLOOKUP(StatTbl[[#This Row],[Join]],TargetSlots[Join],TargetSlots[Join],"Не найдено")&lt;&gt;"Не найдено","Ищем","Не ищем")</f>
        <v>Не ищем</v>
      </c>
      <c r="T264" s="4" t="str">
        <f ca="1">IF(COUNTIFS(OFFSET(D264:$Q264,0,SearchDay-1,,15-SearchDay),"&lt;="&amp; ValidC,OFFSET(D264:$Q264,0,SearchDay-1,,15-SearchDay),"&gt;-1")&gt;0,"Есть слот!","Ничего")</f>
        <v>Ничего</v>
      </c>
      <c r="U264">
        <f ca="1">IF(S264="Ищем",IF(StatTbl[[#This Row],[Доступность]]="Есть слот!",COUNTIFS(OFFSET(D264:$Q264,0,SearchDay-1),"&lt;="&amp; ValidC,OFFSET(D264:$Q264,0,SearchDay-1),"&gt;-1"),0),0)</f>
        <v>0</v>
      </c>
      <c r="V264" t="str" cm="1">
        <f t="array" aca="1" ref="V264" ca="1">IF(StatTbl[[#This Row],[Кол-во слотов]]&gt;0, B264&amp;" "&amp;C264&amp;" "&amp;_xlfn.TEXTJOIN(", ",FALSE,TEXT(_xlfn._xlws.FILTER(OFFSET($D$8:$Q$8,0,SearchDay-1,,15-SearchDay),(OFFSET(D264:Q264,0,SearchDay-1,,15-SearchDay)&gt;-1)*(OFFSET(D264:Q264,0,SearchDay-1,,15-SearchDay)&lt;=ValidC)),"ДД/ММ")),"")</f>
        <v/>
      </c>
      <c r="W264" t="str">
        <f t="shared" si="3"/>
        <v>СЦ Новосибирск ПасечнаяQR-поставка</v>
      </c>
      <c r="Y264" s="10"/>
      <c r="Z264" s="10"/>
      <c r="AA264" s="10"/>
      <c r="AB264" s="10"/>
    </row>
    <row r="265" spans="2:28" x14ac:dyDescent="0.45">
      <c r="B265" s="12" t="s">
        <v>70</v>
      </c>
      <c r="C265" s="12" t="s">
        <v>109</v>
      </c>
      <c r="D265" s="35">
        <v>5</v>
      </c>
      <c r="E265" s="35">
        <v>5</v>
      </c>
      <c r="F265" s="35">
        <v>5</v>
      </c>
      <c r="G265" s="35">
        <v>5</v>
      </c>
      <c r="H265" s="35">
        <v>5</v>
      </c>
      <c r="I265" s="35">
        <v>5</v>
      </c>
      <c r="J265" s="35">
        <v>5</v>
      </c>
      <c r="K265" s="35">
        <v>5</v>
      </c>
      <c r="L265" s="35">
        <v>20</v>
      </c>
      <c r="M265" s="35">
        <v>20</v>
      </c>
      <c r="N265" s="35">
        <v>20</v>
      </c>
      <c r="O265" s="35">
        <v>20</v>
      </c>
      <c r="P265" s="35">
        <v>5</v>
      </c>
      <c r="Q265" s="35">
        <v>20</v>
      </c>
      <c r="S265" s="5" t="str">
        <f>IF(_xlfn.XLOOKUP(StatTbl[[#This Row],[Join]],TargetSlots[Join],TargetSlots[Join],"Не найдено")&lt;&gt;"Не найдено","Ищем","Не ищем")</f>
        <v>Не ищем</v>
      </c>
      <c r="T265" s="4" t="str">
        <f ca="1">IF(COUNTIFS(OFFSET(D265:$Q265,0,SearchDay-1,,15-SearchDay),"&lt;="&amp; ValidC,OFFSET(D265:$Q265,0,SearchDay-1,,15-SearchDay),"&gt;-1")&gt;0,"Есть слот!","Ничего")</f>
        <v>Ничего</v>
      </c>
      <c r="U265">
        <f ca="1">IF(S265="Ищем",IF(StatTbl[[#This Row],[Доступность]]="Есть слот!",COUNTIFS(OFFSET(D265:$Q265,0,SearchDay-1),"&lt;="&amp; ValidC,OFFSET(D265:$Q265,0,SearchDay-1),"&gt;-1"),0),0)</f>
        <v>0</v>
      </c>
      <c r="V265" t="str" cm="1">
        <f t="array" aca="1" ref="V265" ca="1">IF(StatTbl[[#This Row],[Кол-во слотов]]&gt;0, B265&amp;" "&amp;C265&amp;" "&amp;_xlfn.TEXTJOIN(", ",FALSE,TEXT(_xlfn._xlws.FILTER(OFFSET($D$8:$Q$8,0,SearchDay-1,,15-SearchDay),(OFFSET(D265:Q265,0,SearchDay-1,,15-SearchDay)&gt;-1)*(OFFSET(D265:Q265,0,SearchDay-1,,15-SearchDay)&lt;=ValidC)),"ДД/ММ")),"")</f>
        <v/>
      </c>
      <c r="W265" t="str">
        <f t="shared" ref="W265:W328" si="4">B265&amp;C265</f>
        <v>СЦ НоябрьскКороба</v>
      </c>
      <c r="Y265" s="10"/>
      <c r="Z265" s="10"/>
      <c r="AA265" s="10"/>
      <c r="AB265" s="10"/>
    </row>
    <row r="266" spans="2:28" x14ac:dyDescent="0.45">
      <c r="B266" s="12" t="s">
        <v>70</v>
      </c>
      <c r="C266" s="12" t="s">
        <v>110</v>
      </c>
      <c r="D266" s="35">
        <v>-1</v>
      </c>
      <c r="E266" s="35">
        <v>-1</v>
      </c>
      <c r="F266" s="35">
        <v>-1</v>
      </c>
      <c r="G266" s="35">
        <v>-1</v>
      </c>
      <c r="H266" s="35">
        <v>-1</v>
      </c>
      <c r="I266" s="35">
        <v>-1</v>
      </c>
      <c r="J266" s="35">
        <v>-1</v>
      </c>
      <c r="K266" s="35">
        <v>-1</v>
      </c>
      <c r="L266" s="35">
        <v>-1</v>
      </c>
      <c r="M266" s="35">
        <v>-1</v>
      </c>
      <c r="N266" s="35">
        <v>-1</v>
      </c>
      <c r="O266" s="35">
        <v>-1</v>
      </c>
      <c r="P266" s="35">
        <v>-1</v>
      </c>
      <c r="Q266" s="35">
        <v>-1</v>
      </c>
      <c r="S266" s="5" t="str">
        <f>IF(_xlfn.XLOOKUP(StatTbl[[#This Row],[Join]],TargetSlots[Join],TargetSlots[Join],"Не найдено")&lt;&gt;"Не найдено","Ищем","Не ищем")</f>
        <v>Не ищем</v>
      </c>
      <c r="T266" s="4" t="str">
        <f ca="1">IF(COUNTIFS(OFFSET(D266:$Q266,0,SearchDay-1,,15-SearchDay),"&lt;="&amp; ValidC,OFFSET(D266:$Q266,0,SearchDay-1,,15-SearchDay),"&gt;-1")&gt;0,"Есть слот!","Ничего")</f>
        <v>Ничего</v>
      </c>
      <c r="U266">
        <f ca="1">IF(S266="Ищем",IF(StatTbl[[#This Row],[Доступность]]="Есть слот!",COUNTIFS(OFFSET(D266:$Q266,0,SearchDay-1),"&lt;="&amp; ValidC,OFFSET(D266:$Q266,0,SearchDay-1),"&gt;-1"),0),0)</f>
        <v>0</v>
      </c>
      <c r="V266" t="str" cm="1">
        <f t="array" aca="1" ref="V266" ca="1">IF(StatTbl[[#This Row],[Кол-во слотов]]&gt;0, B266&amp;" "&amp;C266&amp;" "&amp;_xlfn.TEXTJOIN(", ",FALSE,TEXT(_xlfn._xlws.FILTER(OFFSET($D$8:$Q$8,0,SearchDay-1,,15-SearchDay),(OFFSET(D266:Q266,0,SearchDay-1,,15-SearchDay)&gt;-1)*(OFFSET(D266:Q266,0,SearchDay-1,,15-SearchDay)&lt;=ValidC)),"ДД/ММ")),"")</f>
        <v/>
      </c>
      <c r="W266" t="str">
        <f t="shared" si="4"/>
        <v>СЦ НоябрьскМонопаллеты</v>
      </c>
      <c r="Y266" s="10"/>
      <c r="Z266" s="10"/>
      <c r="AA266" s="10"/>
      <c r="AB266" s="10"/>
    </row>
    <row r="267" spans="2:28" x14ac:dyDescent="0.45">
      <c r="B267" s="12" t="s">
        <v>70</v>
      </c>
      <c r="C267" s="12" t="s">
        <v>6</v>
      </c>
      <c r="D267" s="35">
        <v>-1</v>
      </c>
      <c r="E267" s="35">
        <v>-1</v>
      </c>
      <c r="F267" s="35">
        <v>-1</v>
      </c>
      <c r="G267" s="35">
        <v>-1</v>
      </c>
      <c r="H267" s="35">
        <v>-1</v>
      </c>
      <c r="I267" s="35">
        <v>-1</v>
      </c>
      <c r="J267" s="35">
        <v>-1</v>
      </c>
      <c r="K267" s="35">
        <v>-1</v>
      </c>
      <c r="L267" s="35">
        <v>-1</v>
      </c>
      <c r="M267" s="35">
        <v>-1</v>
      </c>
      <c r="N267" s="35">
        <v>-1</v>
      </c>
      <c r="O267" s="35">
        <v>-1</v>
      </c>
      <c r="P267" s="35">
        <v>-1</v>
      </c>
      <c r="Q267" s="35">
        <v>-1</v>
      </c>
      <c r="S267" s="5" t="str">
        <f>IF(_xlfn.XLOOKUP(StatTbl[[#This Row],[Join]],TargetSlots[Join],TargetSlots[Join],"Не найдено")&lt;&gt;"Не найдено","Ищем","Не ищем")</f>
        <v>Не ищем</v>
      </c>
      <c r="T267" s="4" t="str">
        <f ca="1">IF(COUNTIFS(OFFSET(D267:$Q267,0,SearchDay-1,,15-SearchDay),"&lt;="&amp; ValidC,OFFSET(D267:$Q267,0,SearchDay-1,,15-SearchDay),"&gt;-1")&gt;0,"Есть слот!","Ничего")</f>
        <v>Ничего</v>
      </c>
      <c r="U267">
        <f ca="1">IF(S267="Ищем",IF(StatTbl[[#This Row],[Доступность]]="Есть слот!",COUNTIFS(OFFSET(D267:$Q267,0,SearchDay-1),"&lt;="&amp; ValidC,OFFSET(D267:$Q267,0,SearchDay-1),"&gt;-1"),0),0)</f>
        <v>0</v>
      </c>
      <c r="V267" t="str" cm="1">
        <f t="array" aca="1" ref="V267" ca="1">IF(StatTbl[[#This Row],[Кол-во слотов]]&gt;0, B267&amp;" "&amp;C267&amp;" "&amp;_xlfn.TEXTJOIN(", ",FALSE,TEXT(_xlfn._xlws.FILTER(OFFSET($D$8:$Q$8,0,SearchDay-1,,15-SearchDay),(OFFSET(D267:Q267,0,SearchDay-1,,15-SearchDay)&gt;-1)*(OFFSET(D267:Q267,0,SearchDay-1,,15-SearchDay)&lt;=ValidC)),"ДД/ММ")),"")</f>
        <v/>
      </c>
      <c r="W267" t="str">
        <f t="shared" si="4"/>
        <v>СЦ НоябрьскСуперсейф</v>
      </c>
      <c r="Y267" s="10"/>
      <c r="Z267" s="10"/>
      <c r="AA267" s="10"/>
      <c r="AB267" s="10"/>
    </row>
    <row r="268" spans="2:28" x14ac:dyDescent="0.45">
      <c r="B268" s="12" t="s">
        <v>70</v>
      </c>
      <c r="C268" s="12" t="s">
        <v>111</v>
      </c>
      <c r="D268" s="35">
        <v>-1</v>
      </c>
      <c r="E268" s="35">
        <v>-1</v>
      </c>
      <c r="F268" s="35">
        <v>-1</v>
      </c>
      <c r="G268" s="35">
        <v>-1</v>
      </c>
      <c r="H268" s="35">
        <v>-1</v>
      </c>
      <c r="I268" s="35">
        <v>-1</v>
      </c>
      <c r="J268" s="35">
        <v>-1</v>
      </c>
      <c r="K268" s="35">
        <v>-1</v>
      </c>
      <c r="L268" s="35">
        <v>-1</v>
      </c>
      <c r="M268" s="35">
        <v>-1</v>
      </c>
      <c r="N268" s="35">
        <v>-1</v>
      </c>
      <c r="O268" s="35">
        <v>-1</v>
      </c>
      <c r="P268" s="35">
        <v>-1</v>
      </c>
      <c r="Q268" s="35">
        <v>-1</v>
      </c>
      <c r="S268" s="5" t="str">
        <f>IF(_xlfn.XLOOKUP(StatTbl[[#This Row],[Join]],TargetSlots[Join],TargetSlots[Join],"Не найдено")&lt;&gt;"Не найдено","Ищем","Не ищем")</f>
        <v>Не ищем</v>
      </c>
      <c r="T268" s="4" t="str">
        <f ca="1">IF(COUNTIFS(OFFSET(D268:$Q268,0,SearchDay-1,,15-SearchDay),"&lt;="&amp; ValidC,OFFSET(D268:$Q268,0,SearchDay-1,,15-SearchDay),"&gt;-1")&gt;0,"Есть слот!","Ничего")</f>
        <v>Ничего</v>
      </c>
      <c r="U268">
        <f ca="1">IF(S268="Ищем",IF(StatTbl[[#This Row],[Доступность]]="Есть слот!",COUNTIFS(OFFSET(D268:$Q268,0,SearchDay-1),"&lt;="&amp; ValidC,OFFSET(D268:$Q268,0,SearchDay-1),"&gt;-1"),0),0)</f>
        <v>0</v>
      </c>
      <c r="V268" t="str" cm="1">
        <f t="array" aca="1" ref="V268" ca="1">IF(StatTbl[[#This Row],[Кол-во слотов]]&gt;0, B268&amp;" "&amp;C268&amp;" "&amp;_xlfn.TEXTJOIN(", ",FALSE,TEXT(_xlfn._xlws.FILTER(OFFSET($D$8:$Q$8,0,SearchDay-1,,15-SearchDay),(OFFSET(D268:Q268,0,SearchDay-1,,15-SearchDay)&gt;-1)*(OFFSET(D268:Q268,0,SearchDay-1,,15-SearchDay)&lt;=ValidC)),"ДД/ММ")),"")</f>
        <v/>
      </c>
      <c r="W268" t="str">
        <f t="shared" si="4"/>
        <v>СЦ НоябрьскQR-поставка</v>
      </c>
      <c r="Y268" s="10"/>
      <c r="Z268" s="10"/>
      <c r="AA268" s="10"/>
      <c r="AB268" s="10"/>
    </row>
    <row r="269" spans="2:28" x14ac:dyDescent="0.45">
      <c r="B269" s="12" t="s">
        <v>71</v>
      </c>
      <c r="C269" s="12" t="s">
        <v>109</v>
      </c>
      <c r="D269" s="35">
        <v>-1</v>
      </c>
      <c r="E269" s="35">
        <v>-1</v>
      </c>
      <c r="F269" s="35">
        <v>-1</v>
      </c>
      <c r="G269" s="35">
        <v>-1</v>
      </c>
      <c r="H269" s="35">
        <v>-1</v>
      </c>
      <c r="I269" s="35">
        <v>-1</v>
      </c>
      <c r="J269" s="35">
        <v>-1</v>
      </c>
      <c r="K269" s="35">
        <v>-1</v>
      </c>
      <c r="L269" s="35">
        <v>-1</v>
      </c>
      <c r="M269" s="35">
        <v>-1</v>
      </c>
      <c r="N269" s="35">
        <v>-1</v>
      </c>
      <c r="O269" s="35">
        <v>-1</v>
      </c>
      <c r="P269" s="35">
        <v>-1</v>
      </c>
      <c r="Q269" s="35">
        <v>-1</v>
      </c>
      <c r="S269" s="5" t="str">
        <f>IF(_xlfn.XLOOKUP(StatTbl[[#This Row],[Join]],TargetSlots[Join],TargetSlots[Join],"Не найдено")&lt;&gt;"Не найдено","Ищем","Не ищем")</f>
        <v>Не ищем</v>
      </c>
      <c r="T269" s="4" t="str">
        <f ca="1">IF(COUNTIFS(OFFSET(D269:$Q269,0,SearchDay-1,,15-SearchDay),"&lt;="&amp; ValidC,OFFSET(D269:$Q269,0,SearchDay-1,,15-SearchDay),"&gt;-1")&gt;0,"Есть слот!","Ничего")</f>
        <v>Ничего</v>
      </c>
      <c r="U269">
        <f ca="1">IF(S269="Ищем",IF(StatTbl[[#This Row],[Доступность]]="Есть слот!",COUNTIFS(OFFSET(D269:$Q269,0,SearchDay-1),"&lt;="&amp; ValidC,OFFSET(D269:$Q269,0,SearchDay-1),"&gt;-1"),0),0)</f>
        <v>0</v>
      </c>
      <c r="V269" t="str" cm="1">
        <f t="array" aca="1" ref="V269" ca="1">IF(StatTbl[[#This Row],[Кол-во слотов]]&gt;0, B269&amp;" "&amp;C269&amp;" "&amp;_xlfn.TEXTJOIN(", ",FALSE,TEXT(_xlfn._xlws.FILTER(OFFSET($D$8:$Q$8,0,SearchDay-1,,15-SearchDay),(OFFSET(D269:Q269,0,SearchDay-1,,15-SearchDay)&gt;-1)*(OFFSET(D269:Q269,0,SearchDay-1,,15-SearchDay)&lt;=ValidC)),"ДД/ММ")),"")</f>
        <v/>
      </c>
      <c r="W269" t="str">
        <f t="shared" si="4"/>
        <v>СЦ Обухово 2Короба</v>
      </c>
      <c r="Y269" s="10"/>
      <c r="Z269" s="10"/>
      <c r="AA269" s="10"/>
      <c r="AB269" s="10"/>
    </row>
    <row r="270" spans="2:28" x14ac:dyDescent="0.45">
      <c r="B270" s="12" t="s">
        <v>71</v>
      </c>
      <c r="C270" s="12" t="s">
        <v>110</v>
      </c>
      <c r="D270" s="35">
        <v>-1</v>
      </c>
      <c r="E270" s="35">
        <v>-1</v>
      </c>
      <c r="F270" s="35">
        <v>-1</v>
      </c>
      <c r="G270" s="35">
        <v>-1</v>
      </c>
      <c r="H270" s="35">
        <v>-1</v>
      </c>
      <c r="I270" s="35">
        <v>-1</v>
      </c>
      <c r="J270" s="35">
        <v>-1</v>
      </c>
      <c r="K270" s="35">
        <v>-1</v>
      </c>
      <c r="L270" s="35">
        <v>-1</v>
      </c>
      <c r="M270" s="35">
        <v>-1</v>
      </c>
      <c r="N270" s="35">
        <v>-1</v>
      </c>
      <c r="O270" s="35">
        <v>-1</v>
      </c>
      <c r="P270" s="35">
        <v>-1</v>
      </c>
      <c r="Q270" s="35">
        <v>-1</v>
      </c>
      <c r="S270" s="5" t="str">
        <f>IF(_xlfn.XLOOKUP(StatTbl[[#This Row],[Join]],TargetSlots[Join],TargetSlots[Join],"Не найдено")&lt;&gt;"Не найдено","Ищем","Не ищем")</f>
        <v>Не ищем</v>
      </c>
      <c r="T270" s="4" t="str">
        <f ca="1">IF(COUNTIFS(OFFSET(D270:$Q270,0,SearchDay-1,,15-SearchDay),"&lt;="&amp; ValidC,OFFSET(D270:$Q270,0,SearchDay-1,,15-SearchDay),"&gt;-1")&gt;0,"Есть слот!","Ничего")</f>
        <v>Ничего</v>
      </c>
      <c r="U270">
        <f ca="1">IF(S270="Ищем",IF(StatTbl[[#This Row],[Доступность]]="Есть слот!",COUNTIFS(OFFSET(D270:$Q270,0,SearchDay-1),"&lt;="&amp; ValidC,OFFSET(D270:$Q270,0,SearchDay-1),"&gt;-1"),0),0)</f>
        <v>0</v>
      </c>
      <c r="V270" t="str" cm="1">
        <f t="array" aca="1" ref="V270" ca="1">IF(StatTbl[[#This Row],[Кол-во слотов]]&gt;0, B270&amp;" "&amp;C270&amp;" "&amp;_xlfn.TEXTJOIN(", ",FALSE,TEXT(_xlfn._xlws.FILTER(OFFSET($D$8:$Q$8,0,SearchDay-1,,15-SearchDay),(OFFSET(D270:Q270,0,SearchDay-1,,15-SearchDay)&gt;-1)*(OFFSET(D270:Q270,0,SearchDay-1,,15-SearchDay)&lt;=ValidC)),"ДД/ММ")),"")</f>
        <v/>
      </c>
      <c r="W270" t="str">
        <f t="shared" si="4"/>
        <v>СЦ Обухово 2Монопаллеты</v>
      </c>
      <c r="Y270" s="10"/>
      <c r="Z270" s="10"/>
      <c r="AA270" s="10"/>
      <c r="AB270" s="10"/>
    </row>
    <row r="271" spans="2:28" x14ac:dyDescent="0.45">
      <c r="B271" s="12" t="s">
        <v>71</v>
      </c>
      <c r="C271" s="12" t="s">
        <v>6</v>
      </c>
      <c r="D271" s="35">
        <v>-1</v>
      </c>
      <c r="E271" s="35">
        <v>-1</v>
      </c>
      <c r="F271" s="35">
        <v>-1</v>
      </c>
      <c r="G271" s="35">
        <v>-1</v>
      </c>
      <c r="H271" s="35">
        <v>-1</v>
      </c>
      <c r="I271" s="35">
        <v>-1</v>
      </c>
      <c r="J271" s="35">
        <v>-1</v>
      </c>
      <c r="K271" s="35">
        <v>-1</v>
      </c>
      <c r="L271" s="35">
        <v>-1</v>
      </c>
      <c r="M271" s="35">
        <v>-1</v>
      </c>
      <c r="N271" s="35">
        <v>-1</v>
      </c>
      <c r="O271" s="35">
        <v>-1</v>
      </c>
      <c r="P271" s="35">
        <v>-1</v>
      </c>
      <c r="Q271" s="35">
        <v>-1</v>
      </c>
      <c r="S271" s="5" t="str">
        <f>IF(_xlfn.XLOOKUP(StatTbl[[#This Row],[Join]],TargetSlots[Join],TargetSlots[Join],"Не найдено")&lt;&gt;"Не найдено","Ищем","Не ищем")</f>
        <v>Не ищем</v>
      </c>
      <c r="T271" s="4" t="str">
        <f ca="1">IF(COUNTIFS(OFFSET(D271:$Q271,0,SearchDay-1,,15-SearchDay),"&lt;="&amp; ValidC,OFFSET(D271:$Q271,0,SearchDay-1,,15-SearchDay),"&gt;-1")&gt;0,"Есть слот!","Ничего")</f>
        <v>Ничего</v>
      </c>
      <c r="U271">
        <f ca="1">IF(S271="Ищем",IF(StatTbl[[#This Row],[Доступность]]="Есть слот!",COUNTIFS(OFFSET(D271:$Q271,0,SearchDay-1),"&lt;="&amp; ValidC,OFFSET(D271:$Q271,0,SearchDay-1),"&gt;-1"),0),0)</f>
        <v>0</v>
      </c>
      <c r="V271" t="str" cm="1">
        <f t="array" aca="1" ref="V271" ca="1">IF(StatTbl[[#This Row],[Кол-во слотов]]&gt;0, B271&amp;" "&amp;C271&amp;" "&amp;_xlfn.TEXTJOIN(", ",FALSE,TEXT(_xlfn._xlws.FILTER(OFFSET($D$8:$Q$8,0,SearchDay-1,,15-SearchDay),(OFFSET(D271:Q271,0,SearchDay-1,,15-SearchDay)&gt;-1)*(OFFSET(D271:Q271,0,SearchDay-1,,15-SearchDay)&lt;=ValidC)),"ДД/ММ")),"")</f>
        <v/>
      </c>
      <c r="W271" t="str">
        <f t="shared" si="4"/>
        <v>СЦ Обухово 2Суперсейф</v>
      </c>
      <c r="Y271" s="10"/>
      <c r="Z271" s="10"/>
      <c r="AA271" s="10"/>
      <c r="AB271" s="10"/>
    </row>
    <row r="272" spans="2:28" x14ac:dyDescent="0.45">
      <c r="B272" s="12" t="s">
        <v>71</v>
      </c>
      <c r="C272" s="12" t="s">
        <v>111</v>
      </c>
      <c r="D272" s="35">
        <v>-1</v>
      </c>
      <c r="E272" s="35">
        <v>-1</v>
      </c>
      <c r="F272" s="35">
        <v>-1</v>
      </c>
      <c r="G272" s="35">
        <v>-1</v>
      </c>
      <c r="H272" s="35">
        <v>-1</v>
      </c>
      <c r="I272" s="35">
        <v>-1</v>
      </c>
      <c r="J272" s="35">
        <v>-1</v>
      </c>
      <c r="K272" s="35">
        <v>-1</v>
      </c>
      <c r="L272" s="35">
        <v>-1</v>
      </c>
      <c r="M272" s="35">
        <v>-1</v>
      </c>
      <c r="N272" s="35">
        <v>-1</v>
      </c>
      <c r="O272" s="35">
        <v>-1</v>
      </c>
      <c r="P272" s="35">
        <v>-1</v>
      </c>
      <c r="Q272" s="35">
        <v>-1</v>
      </c>
      <c r="S272" s="5" t="str">
        <f>IF(_xlfn.XLOOKUP(StatTbl[[#This Row],[Join]],TargetSlots[Join],TargetSlots[Join],"Не найдено")&lt;&gt;"Не найдено","Ищем","Не ищем")</f>
        <v>Не ищем</v>
      </c>
      <c r="T272" s="4" t="str">
        <f ca="1">IF(COUNTIFS(OFFSET(D272:$Q272,0,SearchDay-1,,15-SearchDay),"&lt;="&amp; ValidC,OFFSET(D272:$Q272,0,SearchDay-1,,15-SearchDay),"&gt;-1")&gt;0,"Есть слот!","Ничего")</f>
        <v>Ничего</v>
      </c>
      <c r="U272">
        <f ca="1">IF(S272="Ищем",IF(StatTbl[[#This Row],[Доступность]]="Есть слот!",COUNTIFS(OFFSET(D272:$Q272,0,SearchDay-1),"&lt;="&amp; ValidC,OFFSET(D272:$Q272,0,SearchDay-1),"&gt;-1"),0),0)</f>
        <v>0</v>
      </c>
      <c r="V272" t="str" cm="1">
        <f t="array" aca="1" ref="V272" ca="1">IF(StatTbl[[#This Row],[Кол-во слотов]]&gt;0, B272&amp;" "&amp;C272&amp;" "&amp;_xlfn.TEXTJOIN(", ",FALSE,TEXT(_xlfn._xlws.FILTER(OFFSET($D$8:$Q$8,0,SearchDay-1,,15-SearchDay),(OFFSET(D272:Q272,0,SearchDay-1,,15-SearchDay)&gt;-1)*(OFFSET(D272:Q272,0,SearchDay-1,,15-SearchDay)&lt;=ValidC)),"ДД/ММ")),"")</f>
        <v/>
      </c>
      <c r="W272" t="str">
        <f t="shared" si="4"/>
        <v>СЦ Обухово 2QR-поставка</v>
      </c>
      <c r="Y272" s="10"/>
      <c r="Z272" s="10"/>
      <c r="AA272" s="10"/>
      <c r="AB272" s="10"/>
    </row>
    <row r="273" spans="2:28" x14ac:dyDescent="0.45">
      <c r="B273" s="12" t="s">
        <v>72</v>
      </c>
      <c r="C273" s="12" t="s">
        <v>109</v>
      </c>
      <c r="D273" s="35">
        <v>10</v>
      </c>
      <c r="E273" s="35">
        <v>20</v>
      </c>
      <c r="F273" s="35">
        <v>10</v>
      </c>
      <c r="G273" s="35">
        <v>10</v>
      </c>
      <c r="H273" s="35">
        <v>10</v>
      </c>
      <c r="I273" s="35">
        <v>10</v>
      </c>
      <c r="J273" s="35">
        <v>10</v>
      </c>
      <c r="K273" s="35">
        <v>10</v>
      </c>
      <c r="L273" s="35">
        <v>10</v>
      </c>
      <c r="M273" s="35">
        <v>10</v>
      </c>
      <c r="N273" s="35">
        <v>10</v>
      </c>
      <c r="O273" s="35">
        <v>10</v>
      </c>
      <c r="P273" s="35">
        <v>10</v>
      </c>
      <c r="Q273" s="35">
        <v>-1</v>
      </c>
      <c r="S273" s="5" t="str">
        <f>IF(_xlfn.XLOOKUP(StatTbl[[#This Row],[Join]],TargetSlots[Join],TargetSlots[Join],"Не найдено")&lt;&gt;"Не найдено","Ищем","Не ищем")</f>
        <v>Не ищем</v>
      </c>
      <c r="T273" s="4" t="str">
        <f ca="1">IF(COUNTIFS(OFFSET(D273:$Q273,0,SearchDay-1,,15-SearchDay),"&lt;="&amp; ValidC,OFFSET(D273:$Q273,0,SearchDay-1,,15-SearchDay),"&gt;-1")&gt;0,"Есть слот!","Ничего")</f>
        <v>Ничего</v>
      </c>
      <c r="U273">
        <f ca="1">IF(S273="Ищем",IF(StatTbl[[#This Row],[Доступность]]="Есть слот!",COUNTIFS(OFFSET(D273:$Q273,0,SearchDay-1),"&lt;="&amp; ValidC,OFFSET(D273:$Q273,0,SearchDay-1),"&gt;-1"),0),0)</f>
        <v>0</v>
      </c>
      <c r="V273" t="str" cm="1">
        <f t="array" aca="1" ref="V273" ca="1">IF(StatTbl[[#This Row],[Кол-во слотов]]&gt;0, B273&amp;" "&amp;C273&amp;" "&amp;_xlfn.TEXTJOIN(", ",FALSE,TEXT(_xlfn._xlws.FILTER(OFFSET($D$8:$Q$8,0,SearchDay-1,,15-SearchDay),(OFFSET(D273:Q273,0,SearchDay-1,,15-SearchDay)&gt;-1)*(OFFSET(D273:Q273,0,SearchDay-1,,15-SearchDay)&lt;=ValidC)),"ДД/ММ")),"")</f>
        <v/>
      </c>
      <c r="W273" t="str">
        <f t="shared" si="4"/>
        <v>СЦ ОмскКороба</v>
      </c>
      <c r="Y273" s="10"/>
      <c r="Z273" s="10"/>
      <c r="AA273" s="10"/>
      <c r="AB273" s="10"/>
    </row>
    <row r="274" spans="2:28" x14ac:dyDescent="0.45">
      <c r="B274" s="12" t="s">
        <v>72</v>
      </c>
      <c r="C274" s="12" t="s">
        <v>110</v>
      </c>
      <c r="D274" s="35">
        <v>-1</v>
      </c>
      <c r="E274" s="35">
        <v>-1</v>
      </c>
      <c r="F274" s="35">
        <v>-1</v>
      </c>
      <c r="G274" s="35">
        <v>-1</v>
      </c>
      <c r="H274" s="35">
        <v>-1</v>
      </c>
      <c r="I274" s="35">
        <v>-1</v>
      </c>
      <c r="J274" s="35">
        <v>-1</v>
      </c>
      <c r="K274" s="35">
        <v>-1</v>
      </c>
      <c r="L274" s="35">
        <v>-1</v>
      </c>
      <c r="M274" s="35">
        <v>-1</v>
      </c>
      <c r="N274" s="35">
        <v>-1</v>
      </c>
      <c r="O274" s="35">
        <v>-1</v>
      </c>
      <c r="P274" s="35">
        <v>-1</v>
      </c>
      <c r="Q274" s="35">
        <v>-1</v>
      </c>
      <c r="S274" s="5" t="str">
        <f>IF(_xlfn.XLOOKUP(StatTbl[[#This Row],[Join]],TargetSlots[Join],TargetSlots[Join],"Не найдено")&lt;&gt;"Не найдено","Ищем","Не ищем")</f>
        <v>Не ищем</v>
      </c>
      <c r="T274" s="4" t="str">
        <f ca="1">IF(COUNTIFS(OFFSET(D274:$Q274,0,SearchDay-1,,15-SearchDay),"&lt;="&amp; ValidC,OFFSET(D274:$Q274,0,SearchDay-1,,15-SearchDay),"&gt;-1")&gt;0,"Есть слот!","Ничего")</f>
        <v>Ничего</v>
      </c>
      <c r="U274">
        <f ca="1">IF(S274="Ищем",IF(StatTbl[[#This Row],[Доступность]]="Есть слот!",COUNTIFS(OFFSET(D274:$Q274,0,SearchDay-1),"&lt;="&amp; ValidC,OFFSET(D274:$Q274,0,SearchDay-1),"&gt;-1"),0),0)</f>
        <v>0</v>
      </c>
      <c r="V274" t="str" cm="1">
        <f t="array" aca="1" ref="V274" ca="1">IF(StatTbl[[#This Row],[Кол-во слотов]]&gt;0, B274&amp;" "&amp;C274&amp;" "&amp;_xlfn.TEXTJOIN(", ",FALSE,TEXT(_xlfn._xlws.FILTER(OFFSET($D$8:$Q$8,0,SearchDay-1,,15-SearchDay),(OFFSET(D274:Q274,0,SearchDay-1,,15-SearchDay)&gt;-1)*(OFFSET(D274:Q274,0,SearchDay-1,,15-SearchDay)&lt;=ValidC)),"ДД/ММ")),"")</f>
        <v/>
      </c>
      <c r="W274" t="str">
        <f t="shared" si="4"/>
        <v>СЦ ОмскМонопаллеты</v>
      </c>
      <c r="Y274" s="10"/>
      <c r="Z274" s="10"/>
      <c r="AA274" s="10"/>
      <c r="AB274" s="10"/>
    </row>
    <row r="275" spans="2:28" x14ac:dyDescent="0.45">
      <c r="B275" s="12" t="s">
        <v>72</v>
      </c>
      <c r="C275" s="12" t="s">
        <v>6</v>
      </c>
      <c r="D275" s="35">
        <v>-1</v>
      </c>
      <c r="E275" s="35">
        <v>-1</v>
      </c>
      <c r="F275" s="35">
        <v>-1</v>
      </c>
      <c r="G275" s="35">
        <v>-1</v>
      </c>
      <c r="H275" s="35">
        <v>-1</v>
      </c>
      <c r="I275" s="35">
        <v>-1</v>
      </c>
      <c r="J275" s="35">
        <v>-1</v>
      </c>
      <c r="K275" s="35">
        <v>-1</v>
      </c>
      <c r="L275" s="35">
        <v>-1</v>
      </c>
      <c r="M275" s="35">
        <v>-1</v>
      </c>
      <c r="N275" s="35">
        <v>-1</v>
      </c>
      <c r="O275" s="35">
        <v>-1</v>
      </c>
      <c r="P275" s="35">
        <v>-1</v>
      </c>
      <c r="Q275" s="35">
        <v>-1</v>
      </c>
      <c r="S275" s="5" t="str">
        <f>IF(_xlfn.XLOOKUP(StatTbl[[#This Row],[Join]],TargetSlots[Join],TargetSlots[Join],"Не найдено")&lt;&gt;"Не найдено","Ищем","Не ищем")</f>
        <v>Не ищем</v>
      </c>
      <c r="T275" s="4" t="str">
        <f ca="1">IF(COUNTIFS(OFFSET(D275:$Q275,0,SearchDay-1,,15-SearchDay),"&lt;="&amp; ValidC,OFFSET(D275:$Q275,0,SearchDay-1,,15-SearchDay),"&gt;-1")&gt;0,"Есть слот!","Ничего")</f>
        <v>Ничего</v>
      </c>
      <c r="U275">
        <f ca="1">IF(S275="Ищем",IF(StatTbl[[#This Row],[Доступность]]="Есть слот!",COUNTIFS(OFFSET(D275:$Q275,0,SearchDay-1),"&lt;="&amp; ValidC,OFFSET(D275:$Q275,0,SearchDay-1),"&gt;-1"),0),0)</f>
        <v>0</v>
      </c>
      <c r="V275" t="str" cm="1">
        <f t="array" aca="1" ref="V275" ca="1">IF(StatTbl[[#This Row],[Кол-во слотов]]&gt;0, B275&amp;" "&amp;C275&amp;" "&amp;_xlfn.TEXTJOIN(", ",FALSE,TEXT(_xlfn._xlws.FILTER(OFFSET($D$8:$Q$8,0,SearchDay-1,,15-SearchDay),(OFFSET(D275:Q275,0,SearchDay-1,,15-SearchDay)&gt;-1)*(OFFSET(D275:Q275,0,SearchDay-1,,15-SearchDay)&lt;=ValidC)),"ДД/ММ")),"")</f>
        <v/>
      </c>
      <c r="W275" t="str">
        <f t="shared" si="4"/>
        <v>СЦ ОмскСуперсейф</v>
      </c>
      <c r="Y275" s="10"/>
      <c r="Z275" s="10"/>
      <c r="AA275" s="10"/>
      <c r="AB275" s="10"/>
    </row>
    <row r="276" spans="2:28" x14ac:dyDescent="0.45">
      <c r="B276" s="12" t="s">
        <v>72</v>
      </c>
      <c r="C276" s="12" t="s">
        <v>111</v>
      </c>
      <c r="D276" s="35">
        <v>10</v>
      </c>
      <c r="E276" s="35">
        <v>10</v>
      </c>
      <c r="F276" s="35">
        <v>10</v>
      </c>
      <c r="G276" s="35">
        <v>10</v>
      </c>
      <c r="H276" s="35">
        <v>10</v>
      </c>
      <c r="I276" s="35">
        <v>10</v>
      </c>
      <c r="J276" s="35">
        <v>10</v>
      </c>
      <c r="K276" s="35">
        <v>10</v>
      </c>
      <c r="L276" s="35">
        <v>10</v>
      </c>
      <c r="M276" s="35">
        <v>10</v>
      </c>
      <c r="N276" s="35">
        <v>10</v>
      </c>
      <c r="O276" s="35">
        <v>-1</v>
      </c>
      <c r="P276" s="35">
        <v>-1</v>
      </c>
      <c r="Q276" s="35">
        <v>-1</v>
      </c>
      <c r="S276" s="5" t="str">
        <f>IF(_xlfn.XLOOKUP(StatTbl[[#This Row],[Join]],TargetSlots[Join],TargetSlots[Join],"Не найдено")&lt;&gt;"Не найдено","Ищем","Не ищем")</f>
        <v>Не ищем</v>
      </c>
      <c r="T276" s="4" t="str">
        <f ca="1">IF(COUNTIFS(OFFSET(D276:$Q276,0,SearchDay-1,,15-SearchDay),"&lt;="&amp; ValidC,OFFSET(D276:$Q276,0,SearchDay-1,,15-SearchDay),"&gt;-1")&gt;0,"Есть слот!","Ничего")</f>
        <v>Ничего</v>
      </c>
      <c r="U276">
        <f ca="1">IF(S276="Ищем",IF(StatTbl[[#This Row],[Доступность]]="Есть слот!",COUNTIFS(OFFSET(D276:$Q276,0,SearchDay-1),"&lt;="&amp; ValidC,OFFSET(D276:$Q276,0,SearchDay-1),"&gt;-1"),0),0)</f>
        <v>0</v>
      </c>
      <c r="V276" t="str" cm="1">
        <f t="array" aca="1" ref="V276" ca="1">IF(StatTbl[[#This Row],[Кол-во слотов]]&gt;0, B276&amp;" "&amp;C276&amp;" "&amp;_xlfn.TEXTJOIN(", ",FALSE,TEXT(_xlfn._xlws.FILTER(OFFSET($D$8:$Q$8,0,SearchDay-1,,15-SearchDay),(OFFSET(D276:Q276,0,SearchDay-1,,15-SearchDay)&gt;-1)*(OFFSET(D276:Q276,0,SearchDay-1,,15-SearchDay)&lt;=ValidC)),"ДД/ММ")),"")</f>
        <v/>
      </c>
      <c r="W276" t="str">
        <f t="shared" si="4"/>
        <v>СЦ ОмскQR-поставка</v>
      </c>
      <c r="Y276" s="10"/>
      <c r="Z276" s="10"/>
      <c r="AA276" s="10"/>
      <c r="AB276" s="10"/>
    </row>
    <row r="277" spans="2:28" x14ac:dyDescent="0.45">
      <c r="B277" s="12" t="s">
        <v>73</v>
      </c>
      <c r="C277" s="12" t="s">
        <v>109</v>
      </c>
      <c r="D277" s="35">
        <v>5</v>
      </c>
      <c r="E277" s="35">
        <v>20</v>
      </c>
      <c r="F277" s="35">
        <v>20</v>
      </c>
      <c r="G277" s="35">
        <v>20</v>
      </c>
      <c r="H277" s="35">
        <v>5</v>
      </c>
      <c r="I277" s="35">
        <v>20</v>
      </c>
      <c r="J277" s="35">
        <v>20</v>
      </c>
      <c r="K277" s="35">
        <v>20</v>
      </c>
      <c r="L277" s="35">
        <v>20</v>
      </c>
      <c r="M277" s="35">
        <v>20</v>
      </c>
      <c r="N277" s="35">
        <v>20</v>
      </c>
      <c r="O277" s="35">
        <v>20</v>
      </c>
      <c r="P277" s="35">
        <v>5</v>
      </c>
      <c r="Q277" s="35">
        <v>20</v>
      </c>
      <c r="S277" s="5" t="str">
        <f>IF(_xlfn.XLOOKUP(StatTbl[[#This Row],[Join]],TargetSlots[Join],TargetSlots[Join],"Не найдено")&lt;&gt;"Не найдено","Ищем","Не ищем")</f>
        <v>Не ищем</v>
      </c>
      <c r="T277" s="4" t="str">
        <f ca="1">IF(COUNTIFS(OFFSET(D277:$Q277,0,SearchDay-1,,15-SearchDay),"&lt;="&amp; ValidC,OFFSET(D277:$Q277,0,SearchDay-1,,15-SearchDay),"&gt;-1")&gt;0,"Есть слот!","Ничего")</f>
        <v>Ничего</v>
      </c>
      <c r="U277">
        <f ca="1">IF(S277="Ищем",IF(StatTbl[[#This Row],[Доступность]]="Есть слот!",COUNTIFS(OFFSET(D277:$Q277,0,SearchDay-1),"&lt;="&amp; ValidC,OFFSET(D277:$Q277,0,SearchDay-1),"&gt;-1"),0),0)</f>
        <v>0</v>
      </c>
      <c r="V277" t="str" cm="1">
        <f t="array" aca="1" ref="V277" ca="1">IF(StatTbl[[#This Row],[Кол-во слотов]]&gt;0, B277&amp;" "&amp;C277&amp;" "&amp;_xlfn.TEXTJOIN(", ",FALSE,TEXT(_xlfn._xlws.FILTER(OFFSET($D$8:$Q$8,0,SearchDay-1,,15-SearchDay),(OFFSET(D277:Q277,0,SearchDay-1,,15-SearchDay)&gt;-1)*(OFFSET(D277:Q277,0,SearchDay-1,,15-SearchDay)&lt;=ValidC)),"ДД/ММ")),"")</f>
        <v/>
      </c>
      <c r="W277" t="str">
        <f t="shared" si="4"/>
        <v>СЦ Оренбург ЦентральнаяКороба</v>
      </c>
      <c r="Y277" s="10"/>
      <c r="Z277" s="10"/>
      <c r="AA277" s="10"/>
      <c r="AB277" s="10"/>
    </row>
    <row r="278" spans="2:28" x14ac:dyDescent="0.45">
      <c r="B278" s="12" t="s">
        <v>73</v>
      </c>
      <c r="C278" s="12" t="s">
        <v>110</v>
      </c>
      <c r="D278" s="35">
        <v>-1</v>
      </c>
      <c r="E278" s="35">
        <v>-1</v>
      </c>
      <c r="F278" s="35">
        <v>-1</v>
      </c>
      <c r="G278" s="35">
        <v>-1</v>
      </c>
      <c r="H278" s="35">
        <v>-1</v>
      </c>
      <c r="I278" s="35">
        <v>-1</v>
      </c>
      <c r="J278" s="35">
        <v>-1</v>
      </c>
      <c r="K278" s="35">
        <v>-1</v>
      </c>
      <c r="L278" s="35">
        <v>-1</v>
      </c>
      <c r="M278" s="35">
        <v>-1</v>
      </c>
      <c r="N278" s="35">
        <v>-1</v>
      </c>
      <c r="O278" s="35">
        <v>-1</v>
      </c>
      <c r="P278" s="35">
        <v>-1</v>
      </c>
      <c r="Q278" s="35">
        <v>-1</v>
      </c>
      <c r="S278" s="5" t="str">
        <f>IF(_xlfn.XLOOKUP(StatTbl[[#This Row],[Join]],TargetSlots[Join],TargetSlots[Join],"Не найдено")&lt;&gt;"Не найдено","Ищем","Не ищем")</f>
        <v>Не ищем</v>
      </c>
      <c r="T278" s="4" t="str">
        <f ca="1">IF(COUNTIFS(OFFSET(D278:$Q278,0,SearchDay-1,,15-SearchDay),"&lt;="&amp; ValidC,OFFSET(D278:$Q278,0,SearchDay-1,,15-SearchDay),"&gt;-1")&gt;0,"Есть слот!","Ничего")</f>
        <v>Ничего</v>
      </c>
      <c r="U278">
        <f ca="1">IF(S278="Ищем",IF(StatTbl[[#This Row],[Доступность]]="Есть слот!",COUNTIFS(OFFSET(D278:$Q278,0,SearchDay-1),"&lt;="&amp; ValidC,OFFSET(D278:$Q278,0,SearchDay-1),"&gt;-1"),0),0)</f>
        <v>0</v>
      </c>
      <c r="V278" t="str" cm="1">
        <f t="array" aca="1" ref="V278" ca="1">IF(StatTbl[[#This Row],[Кол-во слотов]]&gt;0, B278&amp;" "&amp;C278&amp;" "&amp;_xlfn.TEXTJOIN(", ",FALSE,TEXT(_xlfn._xlws.FILTER(OFFSET($D$8:$Q$8,0,SearchDay-1,,15-SearchDay),(OFFSET(D278:Q278,0,SearchDay-1,,15-SearchDay)&gt;-1)*(OFFSET(D278:Q278,0,SearchDay-1,,15-SearchDay)&lt;=ValidC)),"ДД/ММ")),"")</f>
        <v/>
      </c>
      <c r="W278" t="str">
        <f t="shared" si="4"/>
        <v>СЦ Оренбург ЦентральнаяМонопаллеты</v>
      </c>
      <c r="Y278" s="10"/>
      <c r="Z278" s="10"/>
      <c r="AA278" s="10"/>
      <c r="AB278" s="10"/>
    </row>
    <row r="279" spans="2:28" x14ac:dyDescent="0.45">
      <c r="B279" s="12" t="s">
        <v>73</v>
      </c>
      <c r="C279" s="12" t="s">
        <v>6</v>
      </c>
      <c r="D279" s="35">
        <v>-1</v>
      </c>
      <c r="E279" s="35">
        <v>-1</v>
      </c>
      <c r="F279" s="35">
        <v>-1</v>
      </c>
      <c r="G279" s="35">
        <v>-1</v>
      </c>
      <c r="H279" s="35">
        <v>-1</v>
      </c>
      <c r="I279" s="35">
        <v>-1</v>
      </c>
      <c r="J279" s="35">
        <v>-1</v>
      </c>
      <c r="K279" s="35">
        <v>-1</v>
      </c>
      <c r="L279" s="35">
        <v>-1</v>
      </c>
      <c r="M279" s="35">
        <v>-1</v>
      </c>
      <c r="N279" s="35">
        <v>-1</v>
      </c>
      <c r="O279" s="35">
        <v>-1</v>
      </c>
      <c r="P279" s="35">
        <v>-1</v>
      </c>
      <c r="Q279" s="35">
        <v>-1</v>
      </c>
      <c r="S279" s="5" t="str">
        <f>IF(_xlfn.XLOOKUP(StatTbl[[#This Row],[Join]],TargetSlots[Join],TargetSlots[Join],"Не найдено")&lt;&gt;"Не найдено","Ищем","Не ищем")</f>
        <v>Не ищем</v>
      </c>
      <c r="T279" s="4" t="str">
        <f ca="1">IF(COUNTIFS(OFFSET(D279:$Q279,0,SearchDay-1,,15-SearchDay),"&lt;="&amp; ValidC,OFFSET(D279:$Q279,0,SearchDay-1,,15-SearchDay),"&gt;-1")&gt;0,"Есть слот!","Ничего")</f>
        <v>Ничего</v>
      </c>
      <c r="U279">
        <f ca="1">IF(S279="Ищем",IF(StatTbl[[#This Row],[Доступность]]="Есть слот!",COUNTIFS(OFFSET(D279:$Q279,0,SearchDay-1),"&lt;="&amp; ValidC,OFFSET(D279:$Q279,0,SearchDay-1),"&gt;-1"),0),0)</f>
        <v>0</v>
      </c>
      <c r="V279" t="str" cm="1">
        <f t="array" aca="1" ref="V279" ca="1">IF(StatTbl[[#This Row],[Кол-во слотов]]&gt;0, B279&amp;" "&amp;C279&amp;" "&amp;_xlfn.TEXTJOIN(", ",FALSE,TEXT(_xlfn._xlws.FILTER(OFFSET($D$8:$Q$8,0,SearchDay-1,,15-SearchDay),(OFFSET(D279:Q279,0,SearchDay-1,,15-SearchDay)&gt;-1)*(OFFSET(D279:Q279,0,SearchDay-1,,15-SearchDay)&lt;=ValidC)),"ДД/ММ")),"")</f>
        <v/>
      </c>
      <c r="W279" t="str">
        <f t="shared" si="4"/>
        <v>СЦ Оренбург ЦентральнаяСуперсейф</v>
      </c>
      <c r="Y279" s="10"/>
      <c r="Z279" s="10"/>
      <c r="AA279" s="10"/>
      <c r="AB279" s="10"/>
    </row>
    <row r="280" spans="2:28" x14ac:dyDescent="0.45">
      <c r="B280" s="12" t="s">
        <v>73</v>
      </c>
      <c r="C280" s="12" t="s">
        <v>111</v>
      </c>
      <c r="D280" s="35">
        <v>5</v>
      </c>
      <c r="E280" s="35">
        <v>5</v>
      </c>
      <c r="F280" s="35">
        <v>5</v>
      </c>
      <c r="G280" s="35">
        <v>5</v>
      </c>
      <c r="H280" s="35">
        <v>20</v>
      </c>
      <c r="I280" s="35">
        <v>20</v>
      </c>
      <c r="J280" s="35">
        <v>20</v>
      </c>
      <c r="K280" s="35">
        <v>20</v>
      </c>
      <c r="L280" s="35">
        <v>20</v>
      </c>
      <c r="M280" s="35">
        <v>20</v>
      </c>
      <c r="N280" s="35">
        <v>20</v>
      </c>
      <c r="O280" s="35">
        <v>-1</v>
      </c>
      <c r="P280" s="35">
        <v>-1</v>
      </c>
      <c r="Q280" s="35">
        <v>-1</v>
      </c>
      <c r="S280" s="5" t="str">
        <f>IF(_xlfn.XLOOKUP(StatTbl[[#This Row],[Join]],TargetSlots[Join],TargetSlots[Join],"Не найдено")&lt;&gt;"Не найдено","Ищем","Не ищем")</f>
        <v>Не ищем</v>
      </c>
      <c r="T280" s="4" t="str">
        <f ca="1">IF(COUNTIFS(OFFSET(D280:$Q280,0,SearchDay-1,,15-SearchDay),"&lt;="&amp; ValidC,OFFSET(D280:$Q280,0,SearchDay-1,,15-SearchDay),"&gt;-1")&gt;0,"Есть слот!","Ничего")</f>
        <v>Ничего</v>
      </c>
      <c r="U280">
        <f ca="1">IF(S280="Ищем",IF(StatTbl[[#This Row],[Доступность]]="Есть слот!",COUNTIFS(OFFSET(D280:$Q280,0,SearchDay-1),"&lt;="&amp; ValidC,OFFSET(D280:$Q280,0,SearchDay-1),"&gt;-1"),0),0)</f>
        <v>0</v>
      </c>
      <c r="V280" t="str" cm="1">
        <f t="array" aca="1" ref="V280" ca="1">IF(StatTbl[[#This Row],[Кол-во слотов]]&gt;0, B280&amp;" "&amp;C280&amp;" "&amp;_xlfn.TEXTJOIN(", ",FALSE,TEXT(_xlfn._xlws.FILTER(OFFSET($D$8:$Q$8,0,SearchDay-1,,15-SearchDay),(OFFSET(D280:Q280,0,SearchDay-1,,15-SearchDay)&gt;-1)*(OFFSET(D280:Q280,0,SearchDay-1,,15-SearchDay)&lt;=ValidC)),"ДД/ММ")),"")</f>
        <v/>
      </c>
      <c r="W280" t="str">
        <f t="shared" si="4"/>
        <v>СЦ Оренбург ЦентральнаяQR-поставка</v>
      </c>
      <c r="Y280" s="10"/>
      <c r="Z280" s="10"/>
      <c r="AA280" s="10"/>
      <c r="AB280" s="10"/>
    </row>
    <row r="281" spans="2:28" x14ac:dyDescent="0.45">
      <c r="B281" s="12" t="s">
        <v>74</v>
      </c>
      <c r="C281" s="12" t="s">
        <v>109</v>
      </c>
      <c r="D281" s="35">
        <v>-1</v>
      </c>
      <c r="E281" s="35">
        <v>-1</v>
      </c>
      <c r="F281" s="35">
        <v>-1</v>
      </c>
      <c r="G281" s="35">
        <v>-1</v>
      </c>
      <c r="H281" s="35">
        <v>-1</v>
      </c>
      <c r="I281" s="35">
        <v>-1</v>
      </c>
      <c r="J281" s="35">
        <v>-1</v>
      </c>
      <c r="K281" s="35">
        <v>-1</v>
      </c>
      <c r="L281" s="35">
        <v>-1</v>
      </c>
      <c r="M281" s="35">
        <v>-1</v>
      </c>
      <c r="N281" s="35">
        <v>-1</v>
      </c>
      <c r="O281" s="35">
        <v>-1</v>
      </c>
      <c r="P281" s="35">
        <v>-1</v>
      </c>
      <c r="Q281" s="35">
        <v>-1</v>
      </c>
      <c r="S281" s="5" t="str">
        <f>IF(_xlfn.XLOOKUP(StatTbl[[#This Row],[Join]],TargetSlots[Join],TargetSlots[Join],"Не найдено")&lt;&gt;"Не найдено","Ищем","Не ищем")</f>
        <v>Не ищем</v>
      </c>
      <c r="T281" s="4" t="str">
        <f ca="1">IF(COUNTIFS(OFFSET(D281:$Q281,0,SearchDay-1,,15-SearchDay),"&lt;="&amp; ValidC,OFFSET(D281:$Q281,0,SearchDay-1,,15-SearchDay),"&gt;-1")&gt;0,"Есть слот!","Ничего")</f>
        <v>Ничего</v>
      </c>
      <c r="U281">
        <f ca="1">IF(S281="Ищем",IF(StatTbl[[#This Row],[Доступность]]="Есть слот!",COUNTIFS(OFFSET(D281:$Q281,0,SearchDay-1),"&lt;="&amp; ValidC,OFFSET(D281:$Q281,0,SearchDay-1),"&gt;-1"),0),0)</f>
        <v>0</v>
      </c>
      <c r="V281" t="str" cm="1">
        <f t="array" aca="1" ref="V281" ca="1">IF(StatTbl[[#This Row],[Кол-во слотов]]&gt;0, B281&amp;" "&amp;C281&amp;" "&amp;_xlfn.TEXTJOIN(", ",FALSE,TEXT(_xlfn._xlws.FILTER(OFFSET($D$8:$Q$8,0,SearchDay-1,,15-SearchDay),(OFFSET(D281:Q281,0,SearchDay-1,,15-SearchDay)&gt;-1)*(OFFSET(D281:Q281,0,SearchDay-1,,15-SearchDay)&lt;=ValidC)),"ДД/ММ")),"")</f>
        <v/>
      </c>
      <c r="W281" t="str">
        <f t="shared" si="4"/>
        <v>СЦ ОшКороба</v>
      </c>
      <c r="Y281" s="10"/>
      <c r="Z281" s="10"/>
      <c r="AA281" s="10"/>
      <c r="AB281" s="10"/>
    </row>
    <row r="282" spans="2:28" x14ac:dyDescent="0.45">
      <c r="B282" s="12" t="s">
        <v>74</v>
      </c>
      <c r="C282" s="12" t="s">
        <v>110</v>
      </c>
      <c r="D282" s="35">
        <v>-1</v>
      </c>
      <c r="E282" s="35">
        <v>-1</v>
      </c>
      <c r="F282" s="35">
        <v>-1</v>
      </c>
      <c r="G282" s="35">
        <v>-1</v>
      </c>
      <c r="H282" s="35">
        <v>-1</v>
      </c>
      <c r="I282" s="35">
        <v>-1</v>
      </c>
      <c r="J282" s="35">
        <v>-1</v>
      </c>
      <c r="K282" s="35">
        <v>-1</v>
      </c>
      <c r="L282" s="35">
        <v>-1</v>
      </c>
      <c r="M282" s="35">
        <v>-1</v>
      </c>
      <c r="N282" s="35">
        <v>-1</v>
      </c>
      <c r="O282" s="35">
        <v>-1</v>
      </c>
      <c r="P282" s="35">
        <v>-1</v>
      </c>
      <c r="Q282" s="35">
        <v>-1</v>
      </c>
      <c r="S282" s="5" t="str">
        <f>IF(_xlfn.XLOOKUP(StatTbl[[#This Row],[Join]],TargetSlots[Join],TargetSlots[Join],"Не найдено")&lt;&gt;"Не найдено","Ищем","Не ищем")</f>
        <v>Не ищем</v>
      </c>
      <c r="T282" s="4" t="str">
        <f ca="1">IF(COUNTIFS(OFFSET(D282:$Q282,0,SearchDay-1,,15-SearchDay),"&lt;="&amp; ValidC,OFFSET(D282:$Q282,0,SearchDay-1,,15-SearchDay),"&gt;-1")&gt;0,"Есть слот!","Ничего")</f>
        <v>Ничего</v>
      </c>
      <c r="U282">
        <f ca="1">IF(S282="Ищем",IF(StatTbl[[#This Row],[Доступность]]="Есть слот!",COUNTIFS(OFFSET(D282:$Q282,0,SearchDay-1),"&lt;="&amp; ValidC,OFFSET(D282:$Q282,0,SearchDay-1),"&gt;-1"),0),0)</f>
        <v>0</v>
      </c>
      <c r="V282" t="str" cm="1">
        <f t="array" aca="1" ref="V282" ca="1">IF(StatTbl[[#This Row],[Кол-во слотов]]&gt;0, B282&amp;" "&amp;C282&amp;" "&amp;_xlfn.TEXTJOIN(", ",FALSE,TEXT(_xlfn._xlws.FILTER(OFFSET($D$8:$Q$8,0,SearchDay-1,,15-SearchDay),(OFFSET(D282:Q282,0,SearchDay-1,,15-SearchDay)&gt;-1)*(OFFSET(D282:Q282,0,SearchDay-1,,15-SearchDay)&lt;=ValidC)),"ДД/ММ")),"")</f>
        <v/>
      </c>
      <c r="W282" t="str">
        <f t="shared" si="4"/>
        <v>СЦ ОшМонопаллеты</v>
      </c>
      <c r="Y282" s="10"/>
      <c r="Z282" s="10"/>
      <c r="AA282" s="10"/>
      <c r="AB282" s="10"/>
    </row>
    <row r="283" spans="2:28" x14ac:dyDescent="0.45">
      <c r="B283" s="12" t="s">
        <v>74</v>
      </c>
      <c r="C283" s="12" t="s">
        <v>6</v>
      </c>
      <c r="D283" s="35">
        <v>-1</v>
      </c>
      <c r="E283" s="35">
        <v>-1</v>
      </c>
      <c r="F283" s="35">
        <v>-1</v>
      </c>
      <c r="G283" s="35">
        <v>-1</v>
      </c>
      <c r="H283" s="35">
        <v>-1</v>
      </c>
      <c r="I283" s="35">
        <v>-1</v>
      </c>
      <c r="J283" s="35">
        <v>-1</v>
      </c>
      <c r="K283" s="35">
        <v>-1</v>
      </c>
      <c r="L283" s="35">
        <v>-1</v>
      </c>
      <c r="M283" s="35">
        <v>-1</v>
      </c>
      <c r="N283" s="35">
        <v>-1</v>
      </c>
      <c r="O283" s="35">
        <v>-1</v>
      </c>
      <c r="P283" s="35">
        <v>-1</v>
      </c>
      <c r="Q283" s="35">
        <v>-1</v>
      </c>
      <c r="S283" s="5" t="str">
        <f>IF(_xlfn.XLOOKUP(StatTbl[[#This Row],[Join]],TargetSlots[Join],TargetSlots[Join],"Не найдено")&lt;&gt;"Не найдено","Ищем","Не ищем")</f>
        <v>Не ищем</v>
      </c>
      <c r="T283" s="4" t="str">
        <f ca="1">IF(COUNTIFS(OFFSET(D283:$Q283,0,SearchDay-1,,15-SearchDay),"&lt;="&amp; ValidC,OFFSET(D283:$Q283,0,SearchDay-1,,15-SearchDay),"&gt;-1")&gt;0,"Есть слот!","Ничего")</f>
        <v>Ничего</v>
      </c>
      <c r="U283">
        <f ca="1">IF(S283="Ищем",IF(StatTbl[[#This Row],[Доступность]]="Есть слот!",COUNTIFS(OFFSET(D283:$Q283,0,SearchDay-1),"&lt;="&amp; ValidC,OFFSET(D283:$Q283,0,SearchDay-1),"&gt;-1"),0),0)</f>
        <v>0</v>
      </c>
      <c r="V283" t="str" cm="1">
        <f t="array" aca="1" ref="V283" ca="1">IF(StatTbl[[#This Row],[Кол-во слотов]]&gt;0, B283&amp;" "&amp;C283&amp;" "&amp;_xlfn.TEXTJOIN(", ",FALSE,TEXT(_xlfn._xlws.FILTER(OFFSET($D$8:$Q$8,0,SearchDay-1,,15-SearchDay),(OFFSET(D283:Q283,0,SearchDay-1,,15-SearchDay)&gt;-1)*(OFFSET(D283:Q283,0,SearchDay-1,,15-SearchDay)&lt;=ValidC)),"ДД/ММ")),"")</f>
        <v/>
      </c>
      <c r="W283" t="str">
        <f t="shared" si="4"/>
        <v>СЦ ОшСуперсейф</v>
      </c>
      <c r="Y283" s="10"/>
      <c r="Z283" s="10"/>
      <c r="AA283" s="10"/>
      <c r="AB283" s="10"/>
    </row>
    <row r="284" spans="2:28" x14ac:dyDescent="0.45">
      <c r="B284" s="12" t="s">
        <v>74</v>
      </c>
      <c r="C284" s="12" t="s">
        <v>111</v>
      </c>
      <c r="D284" s="35">
        <v>-1</v>
      </c>
      <c r="E284" s="35">
        <v>-1</v>
      </c>
      <c r="F284" s="35">
        <v>-1</v>
      </c>
      <c r="G284" s="35">
        <v>-1</v>
      </c>
      <c r="H284" s="35">
        <v>-1</v>
      </c>
      <c r="I284" s="35">
        <v>-1</v>
      </c>
      <c r="J284" s="35">
        <v>-1</v>
      </c>
      <c r="K284" s="35">
        <v>-1</v>
      </c>
      <c r="L284" s="35">
        <v>-1</v>
      </c>
      <c r="M284" s="35">
        <v>-1</v>
      </c>
      <c r="N284" s="35">
        <v>-1</v>
      </c>
      <c r="O284" s="35">
        <v>-1</v>
      </c>
      <c r="P284" s="35">
        <v>-1</v>
      </c>
      <c r="Q284" s="35">
        <v>-1</v>
      </c>
      <c r="S284" s="5" t="str">
        <f>IF(_xlfn.XLOOKUP(StatTbl[[#This Row],[Join]],TargetSlots[Join],TargetSlots[Join],"Не найдено")&lt;&gt;"Не найдено","Ищем","Не ищем")</f>
        <v>Не ищем</v>
      </c>
      <c r="T284" s="4" t="str">
        <f ca="1">IF(COUNTIFS(OFFSET(D284:$Q284,0,SearchDay-1,,15-SearchDay),"&lt;="&amp; ValidC,OFFSET(D284:$Q284,0,SearchDay-1,,15-SearchDay),"&gt;-1")&gt;0,"Есть слот!","Ничего")</f>
        <v>Ничего</v>
      </c>
      <c r="U284">
        <f ca="1">IF(S284="Ищем",IF(StatTbl[[#This Row],[Доступность]]="Есть слот!",COUNTIFS(OFFSET(D284:$Q284,0,SearchDay-1),"&lt;="&amp; ValidC,OFFSET(D284:$Q284,0,SearchDay-1),"&gt;-1"),0),0)</f>
        <v>0</v>
      </c>
      <c r="V284" t="str" cm="1">
        <f t="array" aca="1" ref="V284" ca="1">IF(StatTbl[[#This Row],[Кол-во слотов]]&gt;0, B284&amp;" "&amp;C284&amp;" "&amp;_xlfn.TEXTJOIN(", ",FALSE,TEXT(_xlfn._xlws.FILTER(OFFSET($D$8:$Q$8,0,SearchDay-1,,15-SearchDay),(OFFSET(D284:Q284,0,SearchDay-1,,15-SearchDay)&gt;-1)*(OFFSET(D284:Q284,0,SearchDay-1,,15-SearchDay)&lt;=ValidC)),"ДД/ММ")),"")</f>
        <v/>
      </c>
      <c r="W284" t="str">
        <f t="shared" si="4"/>
        <v>СЦ ОшQR-поставка</v>
      </c>
      <c r="Y284" s="10"/>
      <c r="Z284" s="10"/>
      <c r="AA284" s="10"/>
      <c r="AB284" s="10"/>
    </row>
    <row r="285" spans="2:28" x14ac:dyDescent="0.45">
      <c r="B285" s="12" t="s">
        <v>75</v>
      </c>
      <c r="C285" s="12" t="s">
        <v>109</v>
      </c>
      <c r="D285" s="35">
        <v>-1</v>
      </c>
      <c r="E285" s="35">
        <v>-1</v>
      </c>
      <c r="F285" s="35">
        <v>-1</v>
      </c>
      <c r="G285" s="35">
        <v>-1</v>
      </c>
      <c r="H285" s="35">
        <v>-1</v>
      </c>
      <c r="I285" s="35">
        <v>-1</v>
      </c>
      <c r="J285" s="35">
        <v>-1</v>
      </c>
      <c r="K285" s="35">
        <v>-1</v>
      </c>
      <c r="L285" s="35">
        <v>-1</v>
      </c>
      <c r="M285" s="35">
        <v>-1</v>
      </c>
      <c r="N285" s="35">
        <v>-1</v>
      </c>
      <c r="O285" s="35">
        <v>-1</v>
      </c>
      <c r="P285" s="35">
        <v>-1</v>
      </c>
      <c r="Q285" s="35">
        <v>-1</v>
      </c>
      <c r="S285" s="5" t="str">
        <f>IF(_xlfn.XLOOKUP(StatTbl[[#This Row],[Join]],TargetSlots[Join],TargetSlots[Join],"Не найдено")&lt;&gt;"Не найдено","Ищем","Не ищем")</f>
        <v>Не ищем</v>
      </c>
      <c r="T285" s="4" t="str">
        <f ca="1">IF(COUNTIFS(OFFSET(D285:$Q285,0,SearchDay-1,,15-SearchDay),"&lt;="&amp; ValidC,OFFSET(D285:$Q285,0,SearchDay-1,,15-SearchDay),"&gt;-1")&gt;0,"Есть слот!","Ничего")</f>
        <v>Ничего</v>
      </c>
      <c r="U285">
        <f ca="1">IF(S285="Ищем",IF(StatTbl[[#This Row],[Доступность]]="Есть слот!",COUNTIFS(OFFSET(D285:$Q285,0,SearchDay-1),"&lt;="&amp; ValidC,OFFSET(D285:$Q285,0,SearchDay-1),"&gt;-1"),0),0)</f>
        <v>0</v>
      </c>
      <c r="V285" t="str" cm="1">
        <f t="array" aca="1" ref="V285" ca="1">IF(StatTbl[[#This Row],[Кол-во слотов]]&gt;0, B285&amp;" "&amp;C285&amp;" "&amp;_xlfn.TEXTJOIN(", ",FALSE,TEXT(_xlfn._xlws.FILTER(OFFSET($D$8:$Q$8,0,SearchDay-1,,15-SearchDay),(OFFSET(D285:Q285,0,SearchDay-1,,15-SearchDay)&gt;-1)*(OFFSET(D285:Q285,0,SearchDay-1,,15-SearchDay)&lt;=ValidC)),"ДД/ММ")),"")</f>
        <v/>
      </c>
      <c r="W285" t="str">
        <f t="shared" si="4"/>
        <v>СЦ Пермь 2Короба</v>
      </c>
      <c r="Y285" s="10"/>
      <c r="Z285" s="10"/>
      <c r="AA285" s="10"/>
      <c r="AB285" s="10"/>
    </row>
    <row r="286" spans="2:28" x14ac:dyDescent="0.45">
      <c r="B286" s="12" t="s">
        <v>75</v>
      </c>
      <c r="C286" s="12" t="s">
        <v>110</v>
      </c>
      <c r="D286" s="35">
        <v>-1</v>
      </c>
      <c r="E286" s="35">
        <v>-1</v>
      </c>
      <c r="F286" s="35">
        <v>-1</v>
      </c>
      <c r="G286" s="35">
        <v>-1</v>
      </c>
      <c r="H286" s="35">
        <v>-1</v>
      </c>
      <c r="I286" s="35">
        <v>-1</v>
      </c>
      <c r="J286" s="35">
        <v>-1</v>
      </c>
      <c r="K286" s="35">
        <v>-1</v>
      </c>
      <c r="L286" s="35">
        <v>-1</v>
      </c>
      <c r="M286" s="35">
        <v>-1</v>
      </c>
      <c r="N286" s="35">
        <v>-1</v>
      </c>
      <c r="O286" s="35">
        <v>-1</v>
      </c>
      <c r="P286" s="35">
        <v>-1</v>
      </c>
      <c r="Q286" s="35">
        <v>-1</v>
      </c>
      <c r="S286" s="5" t="str">
        <f>IF(_xlfn.XLOOKUP(StatTbl[[#This Row],[Join]],TargetSlots[Join],TargetSlots[Join],"Не найдено")&lt;&gt;"Не найдено","Ищем","Не ищем")</f>
        <v>Не ищем</v>
      </c>
      <c r="T286" s="4" t="str">
        <f ca="1">IF(COUNTIFS(OFFSET(D286:$Q286,0,SearchDay-1,,15-SearchDay),"&lt;="&amp; ValidC,OFFSET(D286:$Q286,0,SearchDay-1,,15-SearchDay),"&gt;-1")&gt;0,"Есть слот!","Ничего")</f>
        <v>Ничего</v>
      </c>
      <c r="U286">
        <f ca="1">IF(S286="Ищем",IF(StatTbl[[#This Row],[Доступность]]="Есть слот!",COUNTIFS(OFFSET(D286:$Q286,0,SearchDay-1),"&lt;="&amp; ValidC,OFFSET(D286:$Q286,0,SearchDay-1),"&gt;-1"),0),0)</f>
        <v>0</v>
      </c>
      <c r="V286" t="str" cm="1">
        <f t="array" aca="1" ref="V286" ca="1">IF(StatTbl[[#This Row],[Кол-во слотов]]&gt;0, B286&amp;" "&amp;C286&amp;" "&amp;_xlfn.TEXTJOIN(", ",FALSE,TEXT(_xlfn._xlws.FILTER(OFFSET($D$8:$Q$8,0,SearchDay-1,,15-SearchDay),(OFFSET(D286:Q286,0,SearchDay-1,,15-SearchDay)&gt;-1)*(OFFSET(D286:Q286,0,SearchDay-1,,15-SearchDay)&lt;=ValidC)),"ДД/ММ")),"")</f>
        <v/>
      </c>
      <c r="W286" t="str">
        <f t="shared" si="4"/>
        <v>СЦ Пермь 2Монопаллеты</v>
      </c>
      <c r="Y286" s="10"/>
      <c r="Z286" s="10"/>
      <c r="AA286" s="10"/>
      <c r="AB286" s="10"/>
    </row>
    <row r="287" spans="2:28" x14ac:dyDescent="0.45">
      <c r="B287" s="12" t="s">
        <v>75</v>
      </c>
      <c r="C287" s="12" t="s">
        <v>6</v>
      </c>
      <c r="D287" s="35">
        <v>-1</v>
      </c>
      <c r="E287" s="35">
        <v>-1</v>
      </c>
      <c r="F287" s="35">
        <v>-1</v>
      </c>
      <c r="G287" s="35">
        <v>-1</v>
      </c>
      <c r="H287" s="35">
        <v>-1</v>
      </c>
      <c r="I287" s="35">
        <v>-1</v>
      </c>
      <c r="J287" s="35">
        <v>-1</v>
      </c>
      <c r="K287" s="35">
        <v>-1</v>
      </c>
      <c r="L287" s="35">
        <v>-1</v>
      </c>
      <c r="M287" s="35">
        <v>-1</v>
      </c>
      <c r="N287" s="35">
        <v>-1</v>
      </c>
      <c r="O287" s="35">
        <v>-1</v>
      </c>
      <c r="P287" s="35">
        <v>-1</v>
      </c>
      <c r="Q287" s="35">
        <v>-1</v>
      </c>
      <c r="S287" s="5" t="str">
        <f>IF(_xlfn.XLOOKUP(StatTbl[[#This Row],[Join]],TargetSlots[Join],TargetSlots[Join],"Не найдено")&lt;&gt;"Не найдено","Ищем","Не ищем")</f>
        <v>Не ищем</v>
      </c>
      <c r="T287" s="4" t="str">
        <f ca="1">IF(COUNTIFS(OFFSET(D287:$Q287,0,SearchDay-1,,15-SearchDay),"&lt;="&amp; ValidC,OFFSET(D287:$Q287,0,SearchDay-1,,15-SearchDay),"&gt;-1")&gt;0,"Есть слот!","Ничего")</f>
        <v>Ничего</v>
      </c>
      <c r="U287">
        <f ca="1">IF(S287="Ищем",IF(StatTbl[[#This Row],[Доступность]]="Есть слот!",COUNTIFS(OFFSET(D287:$Q287,0,SearchDay-1),"&lt;="&amp; ValidC,OFFSET(D287:$Q287,0,SearchDay-1),"&gt;-1"),0),0)</f>
        <v>0</v>
      </c>
      <c r="V287" t="str" cm="1">
        <f t="array" aca="1" ref="V287" ca="1">IF(StatTbl[[#This Row],[Кол-во слотов]]&gt;0, B287&amp;" "&amp;C287&amp;" "&amp;_xlfn.TEXTJOIN(", ",FALSE,TEXT(_xlfn._xlws.FILTER(OFFSET($D$8:$Q$8,0,SearchDay-1,,15-SearchDay),(OFFSET(D287:Q287,0,SearchDay-1,,15-SearchDay)&gt;-1)*(OFFSET(D287:Q287,0,SearchDay-1,,15-SearchDay)&lt;=ValidC)),"ДД/ММ")),"")</f>
        <v/>
      </c>
      <c r="W287" t="str">
        <f t="shared" si="4"/>
        <v>СЦ Пермь 2Суперсейф</v>
      </c>
      <c r="Y287" s="10"/>
      <c r="Z287" s="10"/>
      <c r="AA287" s="10"/>
      <c r="AB287" s="10"/>
    </row>
    <row r="288" spans="2:28" x14ac:dyDescent="0.45">
      <c r="B288" s="12" t="s">
        <v>75</v>
      </c>
      <c r="C288" s="12" t="s">
        <v>111</v>
      </c>
      <c r="D288" s="35">
        <v>-1</v>
      </c>
      <c r="E288" s="35">
        <v>-1</v>
      </c>
      <c r="F288" s="35">
        <v>-1</v>
      </c>
      <c r="G288" s="35">
        <v>-1</v>
      </c>
      <c r="H288" s="35">
        <v>-1</v>
      </c>
      <c r="I288" s="35">
        <v>-1</v>
      </c>
      <c r="J288" s="35">
        <v>-1</v>
      </c>
      <c r="K288" s="35">
        <v>-1</v>
      </c>
      <c r="L288" s="35">
        <v>-1</v>
      </c>
      <c r="M288" s="35">
        <v>-1</v>
      </c>
      <c r="N288" s="35">
        <v>-1</v>
      </c>
      <c r="O288" s="35">
        <v>-1</v>
      </c>
      <c r="P288" s="35">
        <v>-1</v>
      </c>
      <c r="Q288" s="35">
        <v>-1</v>
      </c>
      <c r="S288" s="5" t="str">
        <f>IF(_xlfn.XLOOKUP(StatTbl[[#This Row],[Join]],TargetSlots[Join],TargetSlots[Join],"Не найдено")&lt;&gt;"Не найдено","Ищем","Не ищем")</f>
        <v>Не ищем</v>
      </c>
      <c r="T288" s="4" t="str">
        <f ca="1">IF(COUNTIFS(OFFSET(D288:$Q288,0,SearchDay-1,,15-SearchDay),"&lt;="&amp; ValidC,OFFSET(D288:$Q288,0,SearchDay-1,,15-SearchDay),"&gt;-1")&gt;0,"Есть слот!","Ничего")</f>
        <v>Ничего</v>
      </c>
      <c r="U288">
        <f ca="1">IF(S288="Ищем",IF(StatTbl[[#This Row],[Доступность]]="Есть слот!",COUNTIFS(OFFSET(D288:$Q288,0,SearchDay-1),"&lt;="&amp; ValidC,OFFSET(D288:$Q288,0,SearchDay-1),"&gt;-1"),0),0)</f>
        <v>0</v>
      </c>
      <c r="V288" t="str" cm="1">
        <f t="array" aca="1" ref="V288" ca="1">IF(StatTbl[[#This Row],[Кол-во слотов]]&gt;0, B288&amp;" "&amp;C288&amp;" "&amp;_xlfn.TEXTJOIN(", ",FALSE,TEXT(_xlfn._xlws.FILTER(OFFSET($D$8:$Q$8,0,SearchDay-1,,15-SearchDay),(OFFSET(D288:Q288,0,SearchDay-1,,15-SearchDay)&gt;-1)*(OFFSET(D288:Q288,0,SearchDay-1,,15-SearchDay)&lt;=ValidC)),"ДД/ММ")),"")</f>
        <v/>
      </c>
      <c r="W288" t="str">
        <f t="shared" si="4"/>
        <v>СЦ Пермь 2QR-поставка</v>
      </c>
      <c r="Y288" s="10"/>
      <c r="Z288" s="10"/>
      <c r="AA288" s="10"/>
      <c r="AB288" s="10"/>
    </row>
    <row r="289" spans="2:28" x14ac:dyDescent="0.45">
      <c r="B289" s="12" t="s">
        <v>76</v>
      </c>
      <c r="C289" s="12" t="s">
        <v>109</v>
      </c>
      <c r="D289" s="35">
        <v>10</v>
      </c>
      <c r="E289" s="35">
        <v>10</v>
      </c>
      <c r="F289" s="35">
        <v>10</v>
      </c>
      <c r="G289" s="35">
        <v>10</v>
      </c>
      <c r="H289" s="35">
        <v>10</v>
      </c>
      <c r="I289" s="35">
        <v>10</v>
      </c>
      <c r="J289" s="35">
        <v>10</v>
      </c>
      <c r="K289" s="35">
        <v>20</v>
      </c>
      <c r="L289" s="35">
        <v>10</v>
      </c>
      <c r="M289" s="35">
        <v>10</v>
      </c>
      <c r="N289" s="35">
        <v>20</v>
      </c>
      <c r="O289" s="35">
        <v>10</v>
      </c>
      <c r="P289" s="35">
        <v>10</v>
      </c>
      <c r="Q289" s="35">
        <v>-1</v>
      </c>
      <c r="S289" s="5" t="str">
        <f>IF(_xlfn.XLOOKUP(StatTbl[[#This Row],[Join]],TargetSlots[Join],TargetSlots[Join],"Не найдено")&lt;&gt;"Не найдено","Ищем","Не ищем")</f>
        <v>Не ищем</v>
      </c>
      <c r="T289" s="4" t="str">
        <f ca="1">IF(COUNTIFS(OFFSET(D289:$Q289,0,SearchDay-1,,15-SearchDay),"&lt;="&amp; ValidC,OFFSET(D289:$Q289,0,SearchDay-1,,15-SearchDay),"&gt;-1")&gt;0,"Есть слот!","Ничего")</f>
        <v>Ничего</v>
      </c>
      <c r="U289">
        <f ca="1">IF(S289="Ищем",IF(StatTbl[[#This Row],[Доступность]]="Есть слот!",COUNTIFS(OFFSET(D289:$Q289,0,SearchDay-1),"&lt;="&amp; ValidC,OFFSET(D289:$Q289,0,SearchDay-1),"&gt;-1"),0),0)</f>
        <v>0</v>
      </c>
      <c r="V289" t="str" cm="1">
        <f t="array" aca="1" ref="V289" ca="1">IF(StatTbl[[#This Row],[Кол-во слотов]]&gt;0, B289&amp;" "&amp;C289&amp;" "&amp;_xlfn.TEXTJOIN(", ",FALSE,TEXT(_xlfn._xlws.FILTER(OFFSET($D$8:$Q$8,0,SearchDay-1,,15-SearchDay),(OFFSET(D289:Q289,0,SearchDay-1,,15-SearchDay)&gt;-1)*(OFFSET(D289:Q289,0,SearchDay-1,,15-SearchDay)&lt;=ValidC)),"ДД/ММ")),"")</f>
        <v/>
      </c>
      <c r="W289" t="str">
        <f t="shared" si="4"/>
        <v>СЦ ПсковКороба</v>
      </c>
      <c r="Y289" s="10"/>
      <c r="Z289" s="10"/>
      <c r="AA289" s="10"/>
      <c r="AB289" s="10"/>
    </row>
    <row r="290" spans="2:28" x14ac:dyDescent="0.45">
      <c r="B290" s="12" t="s">
        <v>76</v>
      </c>
      <c r="C290" s="12" t="s">
        <v>110</v>
      </c>
      <c r="D290" s="35">
        <v>-1</v>
      </c>
      <c r="E290" s="35">
        <v>-1</v>
      </c>
      <c r="F290" s="35">
        <v>-1</v>
      </c>
      <c r="G290" s="35">
        <v>-1</v>
      </c>
      <c r="H290" s="35">
        <v>-1</v>
      </c>
      <c r="I290" s="35">
        <v>-1</v>
      </c>
      <c r="J290" s="35">
        <v>-1</v>
      </c>
      <c r="K290" s="35">
        <v>-1</v>
      </c>
      <c r="L290" s="35">
        <v>-1</v>
      </c>
      <c r="M290" s="35">
        <v>-1</v>
      </c>
      <c r="N290" s="35">
        <v>-1</v>
      </c>
      <c r="O290" s="35">
        <v>-1</v>
      </c>
      <c r="P290" s="35">
        <v>-1</v>
      </c>
      <c r="Q290" s="35">
        <v>-1</v>
      </c>
      <c r="S290" s="5" t="str">
        <f>IF(_xlfn.XLOOKUP(StatTbl[[#This Row],[Join]],TargetSlots[Join],TargetSlots[Join],"Не найдено")&lt;&gt;"Не найдено","Ищем","Не ищем")</f>
        <v>Не ищем</v>
      </c>
      <c r="T290" s="4" t="str">
        <f ca="1">IF(COUNTIFS(OFFSET(D290:$Q290,0,SearchDay-1,,15-SearchDay),"&lt;="&amp; ValidC,OFFSET(D290:$Q290,0,SearchDay-1,,15-SearchDay),"&gt;-1")&gt;0,"Есть слот!","Ничего")</f>
        <v>Ничего</v>
      </c>
      <c r="U290">
        <f ca="1">IF(S290="Ищем",IF(StatTbl[[#This Row],[Доступность]]="Есть слот!",COUNTIFS(OFFSET(D290:$Q290,0,SearchDay-1),"&lt;="&amp; ValidC,OFFSET(D290:$Q290,0,SearchDay-1),"&gt;-1"),0),0)</f>
        <v>0</v>
      </c>
      <c r="V290" t="str" cm="1">
        <f t="array" aca="1" ref="V290" ca="1">IF(StatTbl[[#This Row],[Кол-во слотов]]&gt;0, B290&amp;" "&amp;C290&amp;" "&amp;_xlfn.TEXTJOIN(", ",FALSE,TEXT(_xlfn._xlws.FILTER(OFFSET($D$8:$Q$8,0,SearchDay-1,,15-SearchDay),(OFFSET(D290:Q290,0,SearchDay-1,,15-SearchDay)&gt;-1)*(OFFSET(D290:Q290,0,SearchDay-1,,15-SearchDay)&lt;=ValidC)),"ДД/ММ")),"")</f>
        <v/>
      </c>
      <c r="W290" t="str">
        <f t="shared" si="4"/>
        <v>СЦ ПсковМонопаллеты</v>
      </c>
      <c r="Y290" s="10"/>
      <c r="Z290" s="10"/>
      <c r="AA290" s="10"/>
      <c r="AB290" s="10"/>
    </row>
    <row r="291" spans="2:28" x14ac:dyDescent="0.45">
      <c r="B291" s="12" t="s">
        <v>76</v>
      </c>
      <c r="C291" s="12" t="s">
        <v>6</v>
      </c>
      <c r="D291" s="35">
        <v>-1</v>
      </c>
      <c r="E291" s="35">
        <v>-1</v>
      </c>
      <c r="F291" s="35">
        <v>-1</v>
      </c>
      <c r="G291" s="35">
        <v>-1</v>
      </c>
      <c r="H291" s="35">
        <v>-1</v>
      </c>
      <c r="I291" s="35">
        <v>-1</v>
      </c>
      <c r="J291" s="35">
        <v>-1</v>
      </c>
      <c r="K291" s="35">
        <v>-1</v>
      </c>
      <c r="L291" s="35">
        <v>-1</v>
      </c>
      <c r="M291" s="35">
        <v>-1</v>
      </c>
      <c r="N291" s="35">
        <v>-1</v>
      </c>
      <c r="O291" s="35">
        <v>-1</v>
      </c>
      <c r="P291" s="35">
        <v>-1</v>
      </c>
      <c r="Q291" s="35">
        <v>-1</v>
      </c>
      <c r="S291" s="5" t="str">
        <f>IF(_xlfn.XLOOKUP(StatTbl[[#This Row],[Join]],TargetSlots[Join],TargetSlots[Join],"Не найдено")&lt;&gt;"Не найдено","Ищем","Не ищем")</f>
        <v>Не ищем</v>
      </c>
      <c r="T291" s="4" t="str">
        <f ca="1">IF(COUNTIFS(OFFSET(D291:$Q291,0,SearchDay-1,,15-SearchDay),"&lt;="&amp; ValidC,OFFSET(D291:$Q291,0,SearchDay-1,,15-SearchDay),"&gt;-1")&gt;0,"Есть слот!","Ничего")</f>
        <v>Ничего</v>
      </c>
      <c r="U291">
        <f ca="1">IF(S291="Ищем",IF(StatTbl[[#This Row],[Доступность]]="Есть слот!",COUNTIFS(OFFSET(D291:$Q291,0,SearchDay-1),"&lt;="&amp; ValidC,OFFSET(D291:$Q291,0,SearchDay-1),"&gt;-1"),0),0)</f>
        <v>0</v>
      </c>
      <c r="V291" t="str" cm="1">
        <f t="array" aca="1" ref="V291" ca="1">IF(StatTbl[[#This Row],[Кол-во слотов]]&gt;0, B291&amp;" "&amp;C291&amp;" "&amp;_xlfn.TEXTJOIN(", ",FALSE,TEXT(_xlfn._xlws.FILTER(OFFSET($D$8:$Q$8,0,SearchDay-1,,15-SearchDay),(OFFSET(D291:Q291,0,SearchDay-1,,15-SearchDay)&gt;-1)*(OFFSET(D291:Q291,0,SearchDay-1,,15-SearchDay)&lt;=ValidC)),"ДД/ММ")),"")</f>
        <v/>
      </c>
      <c r="W291" t="str">
        <f t="shared" si="4"/>
        <v>СЦ ПсковСуперсейф</v>
      </c>
      <c r="Y291" s="10"/>
      <c r="Z291" s="10"/>
      <c r="AA291" s="10"/>
      <c r="AB291" s="10"/>
    </row>
    <row r="292" spans="2:28" x14ac:dyDescent="0.45">
      <c r="B292" s="12" t="s">
        <v>76</v>
      </c>
      <c r="C292" s="12" t="s">
        <v>111</v>
      </c>
      <c r="D292" s="35">
        <v>20</v>
      </c>
      <c r="E292" s="35">
        <v>20</v>
      </c>
      <c r="F292" s="35">
        <v>20</v>
      </c>
      <c r="G292" s="35">
        <v>20</v>
      </c>
      <c r="H292" s="35">
        <v>20</v>
      </c>
      <c r="I292" s="35">
        <v>20</v>
      </c>
      <c r="J292" s="35">
        <v>20</v>
      </c>
      <c r="K292" s="35">
        <v>20</v>
      </c>
      <c r="L292" s="35">
        <v>20</v>
      </c>
      <c r="M292" s="35">
        <v>20</v>
      </c>
      <c r="N292" s="35">
        <v>20</v>
      </c>
      <c r="O292" s="35">
        <v>-1</v>
      </c>
      <c r="P292" s="35">
        <v>-1</v>
      </c>
      <c r="Q292" s="35">
        <v>-1</v>
      </c>
      <c r="S292" s="5" t="str">
        <f>IF(_xlfn.XLOOKUP(StatTbl[[#This Row],[Join]],TargetSlots[Join],TargetSlots[Join],"Не найдено")&lt;&gt;"Не найдено","Ищем","Не ищем")</f>
        <v>Не ищем</v>
      </c>
      <c r="T292" s="4" t="str">
        <f ca="1">IF(COUNTIFS(OFFSET(D292:$Q292,0,SearchDay-1,,15-SearchDay),"&lt;="&amp; ValidC,OFFSET(D292:$Q292,0,SearchDay-1,,15-SearchDay),"&gt;-1")&gt;0,"Есть слот!","Ничего")</f>
        <v>Ничего</v>
      </c>
      <c r="U292">
        <f ca="1">IF(S292="Ищем",IF(StatTbl[[#This Row],[Доступность]]="Есть слот!",COUNTIFS(OFFSET(D292:$Q292,0,SearchDay-1),"&lt;="&amp; ValidC,OFFSET(D292:$Q292,0,SearchDay-1),"&gt;-1"),0),0)</f>
        <v>0</v>
      </c>
      <c r="V292" t="str" cm="1">
        <f t="array" aca="1" ref="V292" ca="1">IF(StatTbl[[#This Row],[Кол-во слотов]]&gt;0, B292&amp;" "&amp;C292&amp;" "&amp;_xlfn.TEXTJOIN(", ",FALSE,TEXT(_xlfn._xlws.FILTER(OFFSET($D$8:$Q$8,0,SearchDay-1,,15-SearchDay),(OFFSET(D292:Q292,0,SearchDay-1,,15-SearchDay)&gt;-1)*(OFFSET(D292:Q292,0,SearchDay-1,,15-SearchDay)&lt;=ValidC)),"ДД/ММ")),"")</f>
        <v/>
      </c>
      <c r="W292" t="str">
        <f t="shared" si="4"/>
        <v>СЦ ПсковQR-поставка</v>
      </c>
      <c r="Y292" s="10"/>
      <c r="Z292" s="10"/>
      <c r="AA292" s="10"/>
      <c r="AB292" s="10"/>
    </row>
    <row r="293" spans="2:28" x14ac:dyDescent="0.45">
      <c r="B293" s="12" t="s">
        <v>77</v>
      </c>
      <c r="C293" s="12" t="s">
        <v>109</v>
      </c>
      <c r="D293" s="35">
        <v>20</v>
      </c>
      <c r="E293" s="35">
        <v>20</v>
      </c>
      <c r="F293" s="35">
        <v>20</v>
      </c>
      <c r="G293" s="35">
        <v>20</v>
      </c>
      <c r="H293" s="35">
        <v>20</v>
      </c>
      <c r="I293" s="35">
        <v>20</v>
      </c>
      <c r="J293" s="35">
        <v>20</v>
      </c>
      <c r="K293" s="35">
        <v>20</v>
      </c>
      <c r="L293" s="35">
        <v>20</v>
      </c>
      <c r="M293" s="35">
        <v>20</v>
      </c>
      <c r="N293" s="35">
        <v>20</v>
      </c>
      <c r="O293" s="35">
        <v>20</v>
      </c>
      <c r="P293" s="35">
        <v>20</v>
      </c>
      <c r="Q293" s="35">
        <v>-1</v>
      </c>
      <c r="S293" s="5" t="str">
        <f>IF(_xlfn.XLOOKUP(StatTbl[[#This Row],[Join]],TargetSlots[Join],TargetSlots[Join],"Не найдено")&lt;&gt;"Не найдено","Ищем","Не ищем")</f>
        <v>Не ищем</v>
      </c>
      <c r="T293" s="4" t="str">
        <f ca="1">IF(COUNTIFS(OFFSET(D293:$Q293,0,SearchDay-1,,15-SearchDay),"&lt;="&amp; ValidC,OFFSET(D293:$Q293,0,SearchDay-1,,15-SearchDay),"&gt;-1")&gt;0,"Есть слот!","Ничего")</f>
        <v>Ничего</v>
      </c>
      <c r="U293">
        <f ca="1">IF(S293="Ищем",IF(StatTbl[[#This Row],[Доступность]]="Есть слот!",COUNTIFS(OFFSET(D293:$Q293,0,SearchDay-1),"&lt;="&amp; ValidC,OFFSET(D293:$Q293,0,SearchDay-1),"&gt;-1"),0),0)</f>
        <v>0</v>
      </c>
      <c r="V293" t="str" cm="1">
        <f t="array" aca="1" ref="V293" ca="1">IF(StatTbl[[#This Row],[Кол-во слотов]]&gt;0, B293&amp;" "&amp;C293&amp;" "&amp;_xlfn.TEXTJOIN(", ",FALSE,TEXT(_xlfn._xlws.FILTER(OFFSET($D$8:$Q$8,0,SearchDay-1,,15-SearchDay),(OFFSET(D293:Q293,0,SearchDay-1,,15-SearchDay)&gt;-1)*(OFFSET(D293:Q293,0,SearchDay-1,,15-SearchDay)&lt;=ValidC)),"ДД/ММ")),"")</f>
        <v/>
      </c>
      <c r="W293" t="str">
        <f t="shared" si="4"/>
        <v>СЦ ПушкиноКороба</v>
      </c>
      <c r="Y293" s="10"/>
      <c r="Z293" s="10"/>
      <c r="AA293" s="10"/>
      <c r="AB293" s="10"/>
    </row>
    <row r="294" spans="2:28" x14ac:dyDescent="0.45">
      <c r="B294" s="12" t="s">
        <v>77</v>
      </c>
      <c r="C294" s="12" t="s">
        <v>110</v>
      </c>
      <c r="D294" s="35">
        <v>-1</v>
      </c>
      <c r="E294" s="35">
        <v>-1</v>
      </c>
      <c r="F294" s="35">
        <v>-1</v>
      </c>
      <c r="G294" s="35">
        <v>-1</v>
      </c>
      <c r="H294" s="35">
        <v>-1</v>
      </c>
      <c r="I294" s="35">
        <v>-1</v>
      </c>
      <c r="J294" s="35">
        <v>-1</v>
      </c>
      <c r="K294" s="35">
        <v>-1</v>
      </c>
      <c r="L294" s="35">
        <v>-1</v>
      </c>
      <c r="M294" s="35">
        <v>-1</v>
      </c>
      <c r="N294" s="35">
        <v>-1</v>
      </c>
      <c r="O294" s="35">
        <v>-1</v>
      </c>
      <c r="P294" s="35">
        <v>-1</v>
      </c>
      <c r="Q294" s="35">
        <v>-1</v>
      </c>
      <c r="S294" s="5" t="str">
        <f>IF(_xlfn.XLOOKUP(StatTbl[[#This Row],[Join]],TargetSlots[Join],TargetSlots[Join],"Не найдено")&lt;&gt;"Не найдено","Ищем","Не ищем")</f>
        <v>Не ищем</v>
      </c>
      <c r="T294" s="4" t="str">
        <f ca="1">IF(COUNTIFS(OFFSET(D294:$Q294,0,SearchDay-1,,15-SearchDay),"&lt;="&amp; ValidC,OFFSET(D294:$Q294,0,SearchDay-1,,15-SearchDay),"&gt;-1")&gt;0,"Есть слот!","Ничего")</f>
        <v>Ничего</v>
      </c>
      <c r="U294">
        <f ca="1">IF(S294="Ищем",IF(StatTbl[[#This Row],[Доступность]]="Есть слот!",COUNTIFS(OFFSET(D294:$Q294,0,SearchDay-1),"&lt;="&amp; ValidC,OFFSET(D294:$Q294,0,SearchDay-1),"&gt;-1"),0),0)</f>
        <v>0</v>
      </c>
      <c r="V294" t="str" cm="1">
        <f t="array" aca="1" ref="V294" ca="1">IF(StatTbl[[#This Row],[Кол-во слотов]]&gt;0, B294&amp;" "&amp;C294&amp;" "&amp;_xlfn.TEXTJOIN(", ",FALSE,TEXT(_xlfn._xlws.FILTER(OFFSET($D$8:$Q$8,0,SearchDay-1,,15-SearchDay),(OFFSET(D294:Q294,0,SearchDay-1,,15-SearchDay)&gt;-1)*(OFFSET(D294:Q294,0,SearchDay-1,,15-SearchDay)&lt;=ValidC)),"ДД/ММ")),"")</f>
        <v/>
      </c>
      <c r="W294" t="str">
        <f t="shared" si="4"/>
        <v>СЦ ПушкиноМонопаллеты</v>
      </c>
      <c r="Y294" s="10"/>
      <c r="Z294" s="10"/>
      <c r="AA294" s="10"/>
      <c r="AB294" s="10"/>
    </row>
    <row r="295" spans="2:28" x14ac:dyDescent="0.45">
      <c r="B295" s="12" t="s">
        <v>77</v>
      </c>
      <c r="C295" s="12" t="s">
        <v>6</v>
      </c>
      <c r="D295" s="35">
        <v>-1</v>
      </c>
      <c r="E295" s="35">
        <v>-1</v>
      </c>
      <c r="F295" s="35">
        <v>-1</v>
      </c>
      <c r="G295" s="35">
        <v>-1</v>
      </c>
      <c r="H295" s="35">
        <v>-1</v>
      </c>
      <c r="I295" s="35">
        <v>-1</v>
      </c>
      <c r="J295" s="35">
        <v>-1</v>
      </c>
      <c r="K295" s="35">
        <v>-1</v>
      </c>
      <c r="L295" s="35">
        <v>-1</v>
      </c>
      <c r="M295" s="35">
        <v>-1</v>
      </c>
      <c r="N295" s="35">
        <v>-1</v>
      </c>
      <c r="O295" s="35">
        <v>-1</v>
      </c>
      <c r="P295" s="35">
        <v>-1</v>
      </c>
      <c r="Q295" s="35">
        <v>-1</v>
      </c>
      <c r="S295" s="5" t="str">
        <f>IF(_xlfn.XLOOKUP(StatTbl[[#This Row],[Join]],TargetSlots[Join],TargetSlots[Join],"Не найдено")&lt;&gt;"Не найдено","Ищем","Не ищем")</f>
        <v>Не ищем</v>
      </c>
      <c r="T295" s="4" t="str">
        <f ca="1">IF(COUNTIFS(OFFSET(D295:$Q295,0,SearchDay-1,,15-SearchDay),"&lt;="&amp; ValidC,OFFSET(D295:$Q295,0,SearchDay-1,,15-SearchDay),"&gt;-1")&gt;0,"Есть слот!","Ничего")</f>
        <v>Ничего</v>
      </c>
      <c r="U295">
        <f ca="1">IF(S295="Ищем",IF(StatTbl[[#This Row],[Доступность]]="Есть слот!",COUNTIFS(OFFSET(D295:$Q295,0,SearchDay-1),"&lt;="&amp; ValidC,OFFSET(D295:$Q295,0,SearchDay-1),"&gt;-1"),0),0)</f>
        <v>0</v>
      </c>
      <c r="V295" t="str" cm="1">
        <f t="array" aca="1" ref="V295" ca="1">IF(StatTbl[[#This Row],[Кол-во слотов]]&gt;0, B295&amp;" "&amp;C295&amp;" "&amp;_xlfn.TEXTJOIN(", ",FALSE,TEXT(_xlfn._xlws.FILTER(OFFSET($D$8:$Q$8,0,SearchDay-1,,15-SearchDay),(OFFSET(D295:Q295,0,SearchDay-1,,15-SearchDay)&gt;-1)*(OFFSET(D295:Q295,0,SearchDay-1,,15-SearchDay)&lt;=ValidC)),"ДД/ММ")),"")</f>
        <v/>
      </c>
      <c r="W295" t="str">
        <f t="shared" si="4"/>
        <v>СЦ ПушкиноСуперсейф</v>
      </c>
      <c r="Y295" s="10"/>
      <c r="Z295" s="10"/>
      <c r="AA295" s="10"/>
      <c r="AB295" s="10"/>
    </row>
    <row r="296" spans="2:28" x14ac:dyDescent="0.45">
      <c r="B296" s="12" t="s">
        <v>77</v>
      </c>
      <c r="C296" s="12" t="s">
        <v>111</v>
      </c>
      <c r="D296" s="35">
        <v>20</v>
      </c>
      <c r="E296" s="35">
        <v>20</v>
      </c>
      <c r="F296" s="35">
        <v>20</v>
      </c>
      <c r="G296" s="35">
        <v>20</v>
      </c>
      <c r="H296" s="35">
        <v>20</v>
      </c>
      <c r="I296" s="35">
        <v>20</v>
      </c>
      <c r="J296" s="35">
        <v>20</v>
      </c>
      <c r="K296" s="35">
        <v>20</v>
      </c>
      <c r="L296" s="35">
        <v>20</v>
      </c>
      <c r="M296" s="35">
        <v>20</v>
      </c>
      <c r="N296" s="35">
        <v>20</v>
      </c>
      <c r="O296" s="35">
        <v>-1</v>
      </c>
      <c r="P296" s="35">
        <v>-1</v>
      </c>
      <c r="Q296" s="35">
        <v>-1</v>
      </c>
      <c r="S296" s="5" t="str">
        <f>IF(_xlfn.XLOOKUP(StatTbl[[#This Row],[Join]],TargetSlots[Join],TargetSlots[Join],"Не найдено")&lt;&gt;"Не найдено","Ищем","Не ищем")</f>
        <v>Не ищем</v>
      </c>
      <c r="T296" s="4" t="str">
        <f ca="1">IF(COUNTIFS(OFFSET(D296:$Q296,0,SearchDay-1,,15-SearchDay),"&lt;="&amp; ValidC,OFFSET(D296:$Q296,0,SearchDay-1,,15-SearchDay),"&gt;-1")&gt;0,"Есть слот!","Ничего")</f>
        <v>Ничего</v>
      </c>
      <c r="U296">
        <f ca="1">IF(S296="Ищем",IF(StatTbl[[#This Row],[Доступность]]="Есть слот!",COUNTIFS(OFFSET(D296:$Q296,0,SearchDay-1),"&lt;="&amp; ValidC,OFFSET(D296:$Q296,0,SearchDay-1),"&gt;-1"),0),0)</f>
        <v>0</v>
      </c>
      <c r="V296" t="str" cm="1">
        <f t="array" aca="1" ref="V296" ca="1">IF(StatTbl[[#This Row],[Кол-во слотов]]&gt;0, B296&amp;" "&amp;C296&amp;" "&amp;_xlfn.TEXTJOIN(", ",FALSE,TEXT(_xlfn._xlws.FILTER(OFFSET($D$8:$Q$8,0,SearchDay-1,,15-SearchDay),(OFFSET(D296:Q296,0,SearchDay-1,,15-SearchDay)&gt;-1)*(OFFSET(D296:Q296,0,SearchDay-1,,15-SearchDay)&lt;=ValidC)),"ДД/ММ")),"")</f>
        <v/>
      </c>
      <c r="W296" t="str">
        <f t="shared" si="4"/>
        <v>СЦ ПушкиноQR-поставка</v>
      </c>
      <c r="Y296" s="10"/>
      <c r="Z296" s="10"/>
      <c r="AA296" s="10"/>
      <c r="AB296" s="10"/>
    </row>
    <row r="297" spans="2:28" x14ac:dyDescent="0.45">
      <c r="B297" s="12" t="s">
        <v>78</v>
      </c>
      <c r="C297" s="12" t="s">
        <v>109</v>
      </c>
      <c r="D297" s="35">
        <v>-1</v>
      </c>
      <c r="E297" s="35">
        <v>-1</v>
      </c>
      <c r="F297" s="35">
        <v>-1</v>
      </c>
      <c r="G297" s="35">
        <v>-1</v>
      </c>
      <c r="H297" s="35">
        <v>-1</v>
      </c>
      <c r="I297" s="35">
        <v>-1</v>
      </c>
      <c r="J297" s="35">
        <v>-1</v>
      </c>
      <c r="K297" s="35">
        <v>-1</v>
      </c>
      <c r="L297" s="35">
        <v>-1</v>
      </c>
      <c r="M297" s="35">
        <v>-1</v>
      </c>
      <c r="N297" s="35">
        <v>-1</v>
      </c>
      <c r="O297" s="35">
        <v>-1</v>
      </c>
      <c r="P297" s="35">
        <v>-1</v>
      </c>
      <c r="Q297" s="35">
        <v>-1</v>
      </c>
      <c r="S297" s="5" t="str">
        <f>IF(_xlfn.XLOOKUP(StatTbl[[#This Row],[Join]],TargetSlots[Join],TargetSlots[Join],"Не найдено")&lt;&gt;"Не найдено","Ищем","Не ищем")</f>
        <v>Не ищем</v>
      </c>
      <c r="T297" s="4" t="str">
        <f ca="1">IF(COUNTIFS(OFFSET(D297:$Q297,0,SearchDay-1,,15-SearchDay),"&lt;="&amp; ValidC,OFFSET(D297:$Q297,0,SearchDay-1,,15-SearchDay),"&gt;-1")&gt;0,"Есть слот!","Ничего")</f>
        <v>Ничего</v>
      </c>
      <c r="U297">
        <f ca="1">IF(S297="Ищем",IF(StatTbl[[#This Row],[Доступность]]="Есть слот!",COUNTIFS(OFFSET(D297:$Q297,0,SearchDay-1),"&lt;="&amp; ValidC,OFFSET(D297:$Q297,0,SearchDay-1),"&gt;-1"),0),0)</f>
        <v>0</v>
      </c>
      <c r="V297" t="str" cm="1">
        <f t="array" aca="1" ref="V297" ca="1">IF(StatTbl[[#This Row],[Кол-во слотов]]&gt;0, B297&amp;" "&amp;C297&amp;" "&amp;_xlfn.TEXTJOIN(", ",FALSE,TEXT(_xlfn._xlws.FILTER(OFFSET($D$8:$Q$8,0,SearchDay-1,,15-SearchDay),(OFFSET(D297:Q297,0,SearchDay-1,,15-SearchDay)&gt;-1)*(OFFSET(D297:Q297,0,SearchDay-1,,15-SearchDay)&lt;=ValidC)),"ДД/ММ")),"")</f>
        <v/>
      </c>
      <c r="W297" t="str">
        <f t="shared" si="4"/>
        <v>СЦ ПятигорскКороба</v>
      </c>
      <c r="Y297" s="10"/>
      <c r="Z297" s="10"/>
      <c r="AA297" s="10"/>
      <c r="AB297" s="10"/>
    </row>
    <row r="298" spans="2:28" x14ac:dyDescent="0.45">
      <c r="B298" s="12" t="s">
        <v>78</v>
      </c>
      <c r="C298" s="12" t="s">
        <v>110</v>
      </c>
      <c r="D298" s="35">
        <v>-1</v>
      </c>
      <c r="E298" s="35">
        <v>-1</v>
      </c>
      <c r="F298" s="35">
        <v>-1</v>
      </c>
      <c r="G298" s="35">
        <v>-1</v>
      </c>
      <c r="H298" s="35">
        <v>-1</v>
      </c>
      <c r="I298" s="35">
        <v>-1</v>
      </c>
      <c r="J298" s="35">
        <v>-1</v>
      </c>
      <c r="K298" s="35">
        <v>-1</v>
      </c>
      <c r="L298" s="35">
        <v>-1</v>
      </c>
      <c r="M298" s="35">
        <v>-1</v>
      </c>
      <c r="N298" s="35">
        <v>-1</v>
      </c>
      <c r="O298" s="35">
        <v>-1</v>
      </c>
      <c r="P298" s="35">
        <v>-1</v>
      </c>
      <c r="Q298" s="35">
        <v>-1</v>
      </c>
      <c r="S298" s="5" t="str">
        <f>IF(_xlfn.XLOOKUP(StatTbl[[#This Row],[Join]],TargetSlots[Join],TargetSlots[Join],"Не найдено")&lt;&gt;"Не найдено","Ищем","Не ищем")</f>
        <v>Не ищем</v>
      </c>
      <c r="T298" s="4" t="str">
        <f ca="1">IF(COUNTIFS(OFFSET(D298:$Q298,0,SearchDay-1,,15-SearchDay),"&lt;="&amp; ValidC,OFFSET(D298:$Q298,0,SearchDay-1,,15-SearchDay),"&gt;-1")&gt;0,"Есть слот!","Ничего")</f>
        <v>Ничего</v>
      </c>
      <c r="U298">
        <f ca="1">IF(S298="Ищем",IF(StatTbl[[#This Row],[Доступность]]="Есть слот!",COUNTIFS(OFFSET(D298:$Q298,0,SearchDay-1),"&lt;="&amp; ValidC,OFFSET(D298:$Q298,0,SearchDay-1),"&gt;-1"),0),0)</f>
        <v>0</v>
      </c>
      <c r="V298" t="str" cm="1">
        <f t="array" aca="1" ref="V298" ca="1">IF(StatTbl[[#This Row],[Кол-во слотов]]&gt;0, B298&amp;" "&amp;C298&amp;" "&amp;_xlfn.TEXTJOIN(", ",FALSE,TEXT(_xlfn._xlws.FILTER(OFFSET($D$8:$Q$8,0,SearchDay-1,,15-SearchDay),(OFFSET(D298:Q298,0,SearchDay-1,,15-SearchDay)&gt;-1)*(OFFSET(D298:Q298,0,SearchDay-1,,15-SearchDay)&lt;=ValidC)),"ДД/ММ")),"")</f>
        <v/>
      </c>
      <c r="W298" t="str">
        <f t="shared" si="4"/>
        <v>СЦ ПятигорскМонопаллеты</v>
      </c>
      <c r="Y298" s="10"/>
      <c r="Z298" s="10"/>
      <c r="AA298" s="10"/>
      <c r="AB298" s="10"/>
    </row>
    <row r="299" spans="2:28" x14ac:dyDescent="0.45">
      <c r="B299" s="12" t="s">
        <v>78</v>
      </c>
      <c r="C299" s="12" t="s">
        <v>6</v>
      </c>
      <c r="D299" s="35">
        <v>-1</v>
      </c>
      <c r="E299" s="35">
        <v>-1</v>
      </c>
      <c r="F299" s="35">
        <v>-1</v>
      </c>
      <c r="G299" s="35">
        <v>-1</v>
      </c>
      <c r="H299" s="35">
        <v>-1</v>
      </c>
      <c r="I299" s="35">
        <v>-1</v>
      </c>
      <c r="J299" s="35">
        <v>-1</v>
      </c>
      <c r="K299" s="35">
        <v>-1</v>
      </c>
      <c r="L299" s="35">
        <v>-1</v>
      </c>
      <c r="M299" s="35">
        <v>-1</v>
      </c>
      <c r="N299" s="35">
        <v>-1</v>
      </c>
      <c r="O299" s="35">
        <v>-1</v>
      </c>
      <c r="P299" s="35">
        <v>-1</v>
      </c>
      <c r="Q299" s="35">
        <v>-1</v>
      </c>
      <c r="S299" s="5" t="str">
        <f>IF(_xlfn.XLOOKUP(StatTbl[[#This Row],[Join]],TargetSlots[Join],TargetSlots[Join],"Не найдено")&lt;&gt;"Не найдено","Ищем","Не ищем")</f>
        <v>Не ищем</v>
      </c>
      <c r="T299" s="4" t="str">
        <f ca="1">IF(COUNTIFS(OFFSET(D299:$Q299,0,SearchDay-1,,15-SearchDay),"&lt;="&amp; ValidC,OFFSET(D299:$Q299,0,SearchDay-1,,15-SearchDay),"&gt;-1")&gt;0,"Есть слот!","Ничего")</f>
        <v>Ничего</v>
      </c>
      <c r="U299">
        <f ca="1">IF(S299="Ищем",IF(StatTbl[[#This Row],[Доступность]]="Есть слот!",COUNTIFS(OFFSET(D299:$Q299,0,SearchDay-1),"&lt;="&amp; ValidC,OFFSET(D299:$Q299,0,SearchDay-1),"&gt;-1"),0),0)</f>
        <v>0</v>
      </c>
      <c r="V299" t="str" cm="1">
        <f t="array" aca="1" ref="V299" ca="1">IF(StatTbl[[#This Row],[Кол-во слотов]]&gt;0, B299&amp;" "&amp;C299&amp;" "&amp;_xlfn.TEXTJOIN(", ",FALSE,TEXT(_xlfn._xlws.FILTER(OFFSET($D$8:$Q$8,0,SearchDay-1,,15-SearchDay),(OFFSET(D299:Q299,0,SearchDay-1,,15-SearchDay)&gt;-1)*(OFFSET(D299:Q299,0,SearchDay-1,,15-SearchDay)&lt;=ValidC)),"ДД/ММ")),"")</f>
        <v/>
      </c>
      <c r="W299" t="str">
        <f t="shared" si="4"/>
        <v>СЦ ПятигорскСуперсейф</v>
      </c>
      <c r="Y299" s="10"/>
      <c r="Z299" s="10"/>
      <c r="AA299" s="10"/>
      <c r="AB299" s="10"/>
    </row>
    <row r="300" spans="2:28" x14ac:dyDescent="0.45">
      <c r="B300" s="12" t="s">
        <v>78</v>
      </c>
      <c r="C300" s="12" t="s">
        <v>111</v>
      </c>
      <c r="D300" s="35">
        <v>-1</v>
      </c>
      <c r="E300" s="35">
        <v>-1</v>
      </c>
      <c r="F300" s="35">
        <v>-1</v>
      </c>
      <c r="G300" s="35">
        <v>-1</v>
      </c>
      <c r="H300" s="35">
        <v>-1</v>
      </c>
      <c r="I300" s="35">
        <v>-1</v>
      </c>
      <c r="J300" s="35">
        <v>-1</v>
      </c>
      <c r="K300" s="35">
        <v>-1</v>
      </c>
      <c r="L300" s="35">
        <v>-1</v>
      </c>
      <c r="M300" s="35">
        <v>-1</v>
      </c>
      <c r="N300" s="35">
        <v>-1</v>
      </c>
      <c r="O300" s="35">
        <v>-1</v>
      </c>
      <c r="P300" s="35">
        <v>-1</v>
      </c>
      <c r="Q300" s="35">
        <v>-1</v>
      </c>
      <c r="S300" s="5" t="str">
        <f>IF(_xlfn.XLOOKUP(StatTbl[[#This Row],[Join]],TargetSlots[Join],TargetSlots[Join],"Не найдено")&lt;&gt;"Не найдено","Ищем","Не ищем")</f>
        <v>Не ищем</v>
      </c>
      <c r="T300" s="4" t="str">
        <f ca="1">IF(COUNTIFS(OFFSET(D300:$Q300,0,SearchDay-1,,15-SearchDay),"&lt;="&amp; ValidC,OFFSET(D300:$Q300,0,SearchDay-1,,15-SearchDay),"&gt;-1")&gt;0,"Есть слот!","Ничего")</f>
        <v>Ничего</v>
      </c>
      <c r="U300">
        <f ca="1">IF(S300="Ищем",IF(StatTbl[[#This Row],[Доступность]]="Есть слот!",COUNTIFS(OFFSET(D300:$Q300,0,SearchDay-1),"&lt;="&amp; ValidC,OFFSET(D300:$Q300,0,SearchDay-1),"&gt;-1"),0),0)</f>
        <v>0</v>
      </c>
      <c r="V300" t="str" cm="1">
        <f t="array" aca="1" ref="V300" ca="1">IF(StatTbl[[#This Row],[Кол-во слотов]]&gt;0, B300&amp;" "&amp;C300&amp;" "&amp;_xlfn.TEXTJOIN(", ",FALSE,TEXT(_xlfn._xlws.FILTER(OFFSET($D$8:$Q$8,0,SearchDay-1,,15-SearchDay),(OFFSET(D300:Q300,0,SearchDay-1,,15-SearchDay)&gt;-1)*(OFFSET(D300:Q300,0,SearchDay-1,,15-SearchDay)&lt;=ValidC)),"ДД/ММ")),"")</f>
        <v/>
      </c>
      <c r="W300" t="str">
        <f t="shared" si="4"/>
        <v>СЦ ПятигорскQR-поставка</v>
      </c>
      <c r="Y300" s="10"/>
      <c r="Z300" s="10"/>
      <c r="AA300" s="10"/>
      <c r="AB300" s="10"/>
    </row>
    <row r="301" spans="2:28" x14ac:dyDescent="0.45">
      <c r="B301" s="12" t="s">
        <v>79</v>
      </c>
      <c r="C301" s="12" t="s">
        <v>109</v>
      </c>
      <c r="D301" s="35">
        <v>-1</v>
      </c>
      <c r="E301" s="35">
        <v>-1</v>
      </c>
      <c r="F301" s="35">
        <v>-1</v>
      </c>
      <c r="G301" s="35">
        <v>-1</v>
      </c>
      <c r="H301" s="35">
        <v>-1</v>
      </c>
      <c r="I301" s="35">
        <v>-1</v>
      </c>
      <c r="J301" s="35">
        <v>-1</v>
      </c>
      <c r="K301" s="35">
        <v>-1</v>
      </c>
      <c r="L301" s="35">
        <v>-1</v>
      </c>
      <c r="M301" s="35">
        <v>-1</v>
      </c>
      <c r="N301" s="35">
        <v>-1</v>
      </c>
      <c r="O301" s="35">
        <v>-1</v>
      </c>
      <c r="P301" s="35">
        <v>-1</v>
      </c>
      <c r="Q301" s="35">
        <v>-1</v>
      </c>
      <c r="S301" s="5" t="str">
        <f>IF(_xlfn.XLOOKUP(StatTbl[[#This Row],[Join]],TargetSlots[Join],TargetSlots[Join],"Не найдено")&lt;&gt;"Не найдено","Ищем","Не ищем")</f>
        <v>Не ищем</v>
      </c>
      <c r="T301" s="4" t="str">
        <f ca="1">IF(COUNTIFS(OFFSET(D301:$Q301,0,SearchDay-1,,15-SearchDay),"&lt;="&amp; ValidC,OFFSET(D301:$Q301,0,SearchDay-1,,15-SearchDay),"&gt;-1")&gt;0,"Есть слот!","Ничего")</f>
        <v>Ничего</v>
      </c>
      <c r="U301">
        <f ca="1">IF(S301="Ищем",IF(StatTbl[[#This Row],[Доступность]]="Есть слот!",COUNTIFS(OFFSET(D301:$Q301,0,SearchDay-1),"&lt;="&amp; ValidC,OFFSET(D301:$Q301,0,SearchDay-1),"&gt;-1"),0),0)</f>
        <v>0</v>
      </c>
      <c r="V301" t="str" cm="1">
        <f t="array" aca="1" ref="V301" ca="1">IF(StatTbl[[#This Row],[Кол-во слотов]]&gt;0, B301&amp;" "&amp;C301&amp;" "&amp;_xlfn.TEXTJOIN(", ",FALSE,TEXT(_xlfn._xlws.FILTER(OFFSET($D$8:$Q$8,0,SearchDay-1,,15-SearchDay),(OFFSET(D301:Q301,0,SearchDay-1,,15-SearchDay)&gt;-1)*(OFFSET(D301:Q301,0,SearchDay-1,,15-SearchDay)&lt;=ValidC)),"ДД/ММ")),"")</f>
        <v/>
      </c>
      <c r="W301" t="str">
        <f t="shared" si="4"/>
        <v>СЦ Пятигорск (Этока)Короба</v>
      </c>
      <c r="Y301" s="10"/>
      <c r="Z301" s="10"/>
      <c r="AA301" s="10"/>
      <c r="AB301" s="10"/>
    </row>
    <row r="302" spans="2:28" x14ac:dyDescent="0.45">
      <c r="B302" s="12" t="s">
        <v>79</v>
      </c>
      <c r="C302" s="12" t="s">
        <v>110</v>
      </c>
      <c r="D302" s="35">
        <v>-1</v>
      </c>
      <c r="E302" s="35">
        <v>-1</v>
      </c>
      <c r="F302" s="35">
        <v>-1</v>
      </c>
      <c r="G302" s="35">
        <v>-1</v>
      </c>
      <c r="H302" s="35">
        <v>-1</v>
      </c>
      <c r="I302" s="35">
        <v>-1</v>
      </c>
      <c r="J302" s="35">
        <v>-1</v>
      </c>
      <c r="K302" s="35">
        <v>-1</v>
      </c>
      <c r="L302" s="35">
        <v>-1</v>
      </c>
      <c r="M302" s="35">
        <v>-1</v>
      </c>
      <c r="N302" s="35">
        <v>-1</v>
      </c>
      <c r="O302" s="35">
        <v>-1</v>
      </c>
      <c r="P302" s="35">
        <v>-1</v>
      </c>
      <c r="Q302" s="35">
        <v>-1</v>
      </c>
      <c r="S302" s="5" t="str">
        <f>IF(_xlfn.XLOOKUP(StatTbl[[#This Row],[Join]],TargetSlots[Join],TargetSlots[Join],"Не найдено")&lt;&gt;"Не найдено","Ищем","Не ищем")</f>
        <v>Не ищем</v>
      </c>
      <c r="T302" s="4" t="str">
        <f ca="1">IF(COUNTIFS(OFFSET(D302:$Q302,0,SearchDay-1,,15-SearchDay),"&lt;="&amp; ValidC,OFFSET(D302:$Q302,0,SearchDay-1,,15-SearchDay),"&gt;-1")&gt;0,"Есть слот!","Ничего")</f>
        <v>Ничего</v>
      </c>
      <c r="U302">
        <f ca="1">IF(S302="Ищем",IF(StatTbl[[#This Row],[Доступность]]="Есть слот!",COUNTIFS(OFFSET(D302:$Q302,0,SearchDay-1),"&lt;="&amp; ValidC,OFFSET(D302:$Q302,0,SearchDay-1),"&gt;-1"),0),0)</f>
        <v>0</v>
      </c>
      <c r="V302" t="str" cm="1">
        <f t="array" aca="1" ref="V302" ca="1">IF(StatTbl[[#This Row],[Кол-во слотов]]&gt;0, B302&amp;" "&amp;C302&amp;" "&amp;_xlfn.TEXTJOIN(", ",FALSE,TEXT(_xlfn._xlws.FILTER(OFFSET($D$8:$Q$8,0,SearchDay-1,,15-SearchDay),(OFFSET(D302:Q302,0,SearchDay-1,,15-SearchDay)&gt;-1)*(OFFSET(D302:Q302,0,SearchDay-1,,15-SearchDay)&lt;=ValidC)),"ДД/ММ")),"")</f>
        <v/>
      </c>
      <c r="W302" t="str">
        <f t="shared" si="4"/>
        <v>СЦ Пятигорск (Этока)Монопаллеты</v>
      </c>
      <c r="Y302" s="10"/>
      <c r="Z302" s="10"/>
      <c r="AA302" s="10"/>
      <c r="AB302" s="10"/>
    </row>
    <row r="303" spans="2:28" x14ac:dyDescent="0.45">
      <c r="B303" s="12" t="s">
        <v>79</v>
      </c>
      <c r="C303" s="12" t="s">
        <v>6</v>
      </c>
      <c r="D303" s="35">
        <v>-1</v>
      </c>
      <c r="E303" s="35">
        <v>-1</v>
      </c>
      <c r="F303" s="35">
        <v>-1</v>
      </c>
      <c r="G303" s="35">
        <v>-1</v>
      </c>
      <c r="H303" s="35">
        <v>-1</v>
      </c>
      <c r="I303" s="35">
        <v>-1</v>
      </c>
      <c r="J303" s="35">
        <v>-1</v>
      </c>
      <c r="K303" s="35">
        <v>-1</v>
      </c>
      <c r="L303" s="35">
        <v>-1</v>
      </c>
      <c r="M303" s="35">
        <v>-1</v>
      </c>
      <c r="N303" s="35">
        <v>-1</v>
      </c>
      <c r="O303" s="35">
        <v>-1</v>
      </c>
      <c r="P303" s="35">
        <v>-1</v>
      </c>
      <c r="Q303" s="35">
        <v>-1</v>
      </c>
      <c r="S303" s="5" t="str">
        <f>IF(_xlfn.XLOOKUP(StatTbl[[#This Row],[Join]],TargetSlots[Join],TargetSlots[Join],"Не найдено")&lt;&gt;"Не найдено","Ищем","Не ищем")</f>
        <v>Не ищем</v>
      </c>
      <c r="T303" s="4" t="str">
        <f ca="1">IF(COUNTIFS(OFFSET(D303:$Q303,0,SearchDay-1,,15-SearchDay),"&lt;="&amp; ValidC,OFFSET(D303:$Q303,0,SearchDay-1,,15-SearchDay),"&gt;-1")&gt;0,"Есть слот!","Ничего")</f>
        <v>Ничего</v>
      </c>
      <c r="U303">
        <f ca="1">IF(S303="Ищем",IF(StatTbl[[#This Row],[Доступность]]="Есть слот!",COUNTIFS(OFFSET(D303:$Q303,0,SearchDay-1),"&lt;="&amp; ValidC,OFFSET(D303:$Q303,0,SearchDay-1),"&gt;-1"),0),0)</f>
        <v>0</v>
      </c>
      <c r="V303" t="str" cm="1">
        <f t="array" aca="1" ref="V303" ca="1">IF(StatTbl[[#This Row],[Кол-во слотов]]&gt;0, B303&amp;" "&amp;C303&amp;" "&amp;_xlfn.TEXTJOIN(", ",FALSE,TEXT(_xlfn._xlws.FILTER(OFFSET($D$8:$Q$8,0,SearchDay-1,,15-SearchDay),(OFFSET(D303:Q303,0,SearchDay-1,,15-SearchDay)&gt;-1)*(OFFSET(D303:Q303,0,SearchDay-1,,15-SearchDay)&lt;=ValidC)),"ДД/ММ")),"")</f>
        <v/>
      </c>
      <c r="W303" t="str">
        <f t="shared" si="4"/>
        <v>СЦ Пятигорск (Этока)Суперсейф</v>
      </c>
      <c r="Y303" s="10"/>
      <c r="Z303" s="10"/>
      <c r="AA303" s="10"/>
      <c r="AB303" s="10"/>
    </row>
    <row r="304" spans="2:28" x14ac:dyDescent="0.45">
      <c r="B304" s="12" t="s">
        <v>79</v>
      </c>
      <c r="C304" s="12" t="s">
        <v>111</v>
      </c>
      <c r="D304" s="35">
        <v>-1</v>
      </c>
      <c r="E304" s="35">
        <v>-1</v>
      </c>
      <c r="F304" s="35">
        <v>-1</v>
      </c>
      <c r="G304" s="35">
        <v>-1</v>
      </c>
      <c r="H304" s="35">
        <v>-1</v>
      </c>
      <c r="I304" s="35">
        <v>-1</v>
      </c>
      <c r="J304" s="35">
        <v>-1</v>
      </c>
      <c r="K304" s="35">
        <v>-1</v>
      </c>
      <c r="L304" s="35">
        <v>-1</v>
      </c>
      <c r="M304" s="35">
        <v>-1</v>
      </c>
      <c r="N304" s="35">
        <v>-1</v>
      </c>
      <c r="O304" s="35">
        <v>-1</v>
      </c>
      <c r="P304" s="35">
        <v>-1</v>
      </c>
      <c r="Q304" s="35">
        <v>-1</v>
      </c>
      <c r="S304" s="5" t="str">
        <f>IF(_xlfn.XLOOKUP(StatTbl[[#This Row],[Join]],TargetSlots[Join],TargetSlots[Join],"Не найдено")&lt;&gt;"Не найдено","Ищем","Не ищем")</f>
        <v>Не ищем</v>
      </c>
      <c r="T304" s="4" t="str">
        <f ca="1">IF(COUNTIFS(OFFSET(D304:$Q304,0,SearchDay-1,,15-SearchDay),"&lt;="&amp; ValidC,OFFSET(D304:$Q304,0,SearchDay-1,,15-SearchDay),"&gt;-1")&gt;0,"Есть слот!","Ничего")</f>
        <v>Ничего</v>
      </c>
      <c r="U304">
        <f ca="1">IF(S304="Ищем",IF(StatTbl[[#This Row],[Доступность]]="Есть слот!",COUNTIFS(OFFSET(D304:$Q304,0,SearchDay-1),"&lt;="&amp; ValidC,OFFSET(D304:$Q304,0,SearchDay-1),"&gt;-1"),0),0)</f>
        <v>0</v>
      </c>
      <c r="V304" t="str" cm="1">
        <f t="array" aca="1" ref="V304" ca="1">IF(StatTbl[[#This Row],[Кол-во слотов]]&gt;0, B304&amp;" "&amp;C304&amp;" "&amp;_xlfn.TEXTJOIN(", ",FALSE,TEXT(_xlfn._xlws.FILTER(OFFSET($D$8:$Q$8,0,SearchDay-1,,15-SearchDay),(OFFSET(D304:Q304,0,SearchDay-1,,15-SearchDay)&gt;-1)*(OFFSET(D304:Q304,0,SearchDay-1,,15-SearchDay)&lt;=ValidC)),"ДД/ММ")),"")</f>
        <v/>
      </c>
      <c r="W304" t="str">
        <f t="shared" si="4"/>
        <v>СЦ Пятигорск (Этока)QR-поставка</v>
      </c>
      <c r="Y304" s="10"/>
      <c r="Z304" s="10"/>
      <c r="AA304" s="10"/>
      <c r="AB304" s="10"/>
    </row>
    <row r="305" spans="2:28" x14ac:dyDescent="0.45">
      <c r="B305" s="12" t="s">
        <v>80</v>
      </c>
      <c r="C305" s="12" t="s">
        <v>109</v>
      </c>
      <c r="D305" s="35">
        <v>-1</v>
      </c>
      <c r="E305" s="35">
        <v>-1</v>
      </c>
      <c r="F305" s="35">
        <v>-1</v>
      </c>
      <c r="G305" s="35">
        <v>-1</v>
      </c>
      <c r="H305" s="35">
        <v>-1</v>
      </c>
      <c r="I305" s="35">
        <v>-1</v>
      </c>
      <c r="J305" s="35">
        <v>-1</v>
      </c>
      <c r="K305" s="35">
        <v>-1</v>
      </c>
      <c r="L305" s="35">
        <v>-1</v>
      </c>
      <c r="M305" s="35">
        <v>-1</v>
      </c>
      <c r="N305" s="35">
        <v>-1</v>
      </c>
      <c r="O305" s="35">
        <v>-1</v>
      </c>
      <c r="P305" s="35">
        <v>-1</v>
      </c>
      <c r="Q305" s="35">
        <v>-1</v>
      </c>
      <c r="S305" s="5" t="str">
        <f>IF(_xlfn.XLOOKUP(StatTbl[[#This Row],[Join]],TargetSlots[Join],TargetSlots[Join],"Не найдено")&lt;&gt;"Не найдено","Ищем","Не ищем")</f>
        <v>Не ищем</v>
      </c>
      <c r="T305" s="4" t="str">
        <f ca="1">IF(COUNTIFS(OFFSET(D305:$Q305,0,SearchDay-1,,15-SearchDay),"&lt;="&amp; ValidC,OFFSET(D305:$Q305,0,SearchDay-1,,15-SearchDay),"&gt;-1")&gt;0,"Есть слот!","Ничего")</f>
        <v>Ничего</v>
      </c>
      <c r="U305">
        <f ca="1">IF(S305="Ищем",IF(StatTbl[[#This Row],[Доступность]]="Есть слот!",COUNTIFS(OFFSET(D305:$Q305,0,SearchDay-1),"&lt;="&amp; ValidC,OFFSET(D305:$Q305,0,SearchDay-1),"&gt;-1"),0),0)</f>
        <v>0</v>
      </c>
      <c r="V305" t="str" cm="1">
        <f t="array" aca="1" ref="V305" ca="1">IF(StatTbl[[#This Row],[Кол-во слотов]]&gt;0, B305&amp;" "&amp;C305&amp;" "&amp;_xlfn.TEXTJOIN(", ",FALSE,TEXT(_xlfn._xlws.FILTER(OFFSET($D$8:$Q$8,0,SearchDay-1,,15-SearchDay),(OFFSET(D305:Q305,0,SearchDay-1,,15-SearchDay)&gt;-1)*(OFFSET(D305:Q305,0,SearchDay-1,,15-SearchDay)&lt;=ValidC)),"ДД/ММ")),"")</f>
        <v/>
      </c>
      <c r="W305" t="str">
        <f t="shared" si="4"/>
        <v>СЦ Ростов-на-ДонуКороба</v>
      </c>
      <c r="Y305" s="10"/>
      <c r="Z305" s="10"/>
      <c r="AA305" s="10"/>
      <c r="AB305" s="10"/>
    </row>
    <row r="306" spans="2:28" x14ac:dyDescent="0.45">
      <c r="B306" s="12" t="s">
        <v>80</v>
      </c>
      <c r="C306" s="12" t="s">
        <v>110</v>
      </c>
      <c r="D306" s="35">
        <v>-1</v>
      </c>
      <c r="E306" s="35">
        <v>-1</v>
      </c>
      <c r="F306" s="35">
        <v>-1</v>
      </c>
      <c r="G306" s="35">
        <v>-1</v>
      </c>
      <c r="H306" s="35">
        <v>-1</v>
      </c>
      <c r="I306" s="35">
        <v>-1</v>
      </c>
      <c r="J306" s="35">
        <v>-1</v>
      </c>
      <c r="K306" s="35">
        <v>-1</v>
      </c>
      <c r="L306" s="35">
        <v>-1</v>
      </c>
      <c r="M306" s="35">
        <v>-1</v>
      </c>
      <c r="N306" s="35">
        <v>-1</v>
      </c>
      <c r="O306" s="35">
        <v>-1</v>
      </c>
      <c r="P306" s="35">
        <v>-1</v>
      </c>
      <c r="Q306" s="35">
        <v>-1</v>
      </c>
      <c r="S306" s="5" t="str">
        <f>IF(_xlfn.XLOOKUP(StatTbl[[#This Row],[Join]],TargetSlots[Join],TargetSlots[Join],"Не найдено")&lt;&gt;"Не найдено","Ищем","Не ищем")</f>
        <v>Не ищем</v>
      </c>
      <c r="T306" s="4" t="str">
        <f ca="1">IF(COUNTIFS(OFFSET(D306:$Q306,0,SearchDay-1,,15-SearchDay),"&lt;="&amp; ValidC,OFFSET(D306:$Q306,0,SearchDay-1,,15-SearchDay),"&gt;-1")&gt;0,"Есть слот!","Ничего")</f>
        <v>Ничего</v>
      </c>
      <c r="U306">
        <f ca="1">IF(S306="Ищем",IF(StatTbl[[#This Row],[Доступность]]="Есть слот!",COUNTIFS(OFFSET(D306:$Q306,0,SearchDay-1),"&lt;="&amp; ValidC,OFFSET(D306:$Q306,0,SearchDay-1),"&gt;-1"),0),0)</f>
        <v>0</v>
      </c>
      <c r="V306" t="str" cm="1">
        <f t="array" aca="1" ref="V306" ca="1">IF(StatTbl[[#This Row],[Кол-во слотов]]&gt;0, B306&amp;" "&amp;C306&amp;" "&amp;_xlfn.TEXTJOIN(", ",FALSE,TEXT(_xlfn._xlws.FILTER(OFFSET($D$8:$Q$8,0,SearchDay-1,,15-SearchDay),(OFFSET(D306:Q306,0,SearchDay-1,,15-SearchDay)&gt;-1)*(OFFSET(D306:Q306,0,SearchDay-1,,15-SearchDay)&lt;=ValidC)),"ДД/ММ")),"")</f>
        <v/>
      </c>
      <c r="W306" t="str">
        <f t="shared" si="4"/>
        <v>СЦ Ростов-на-ДонуМонопаллеты</v>
      </c>
      <c r="Y306" s="10"/>
      <c r="Z306" s="10"/>
      <c r="AA306" s="10"/>
      <c r="AB306" s="10"/>
    </row>
    <row r="307" spans="2:28" x14ac:dyDescent="0.45">
      <c r="B307" s="12" t="s">
        <v>80</v>
      </c>
      <c r="C307" s="12" t="s">
        <v>6</v>
      </c>
      <c r="D307" s="35">
        <v>-1</v>
      </c>
      <c r="E307" s="35">
        <v>-1</v>
      </c>
      <c r="F307" s="35">
        <v>-1</v>
      </c>
      <c r="G307" s="35">
        <v>-1</v>
      </c>
      <c r="H307" s="35">
        <v>-1</v>
      </c>
      <c r="I307" s="35">
        <v>-1</v>
      </c>
      <c r="J307" s="35">
        <v>-1</v>
      </c>
      <c r="K307" s="35">
        <v>-1</v>
      </c>
      <c r="L307" s="35">
        <v>-1</v>
      </c>
      <c r="M307" s="35">
        <v>-1</v>
      </c>
      <c r="N307" s="35">
        <v>-1</v>
      </c>
      <c r="O307" s="35">
        <v>-1</v>
      </c>
      <c r="P307" s="35">
        <v>-1</v>
      </c>
      <c r="Q307" s="35">
        <v>-1</v>
      </c>
      <c r="S307" s="5" t="str">
        <f>IF(_xlfn.XLOOKUP(StatTbl[[#This Row],[Join]],TargetSlots[Join],TargetSlots[Join],"Не найдено")&lt;&gt;"Не найдено","Ищем","Не ищем")</f>
        <v>Не ищем</v>
      </c>
      <c r="T307" s="4" t="str">
        <f ca="1">IF(COUNTIFS(OFFSET(D307:$Q307,0,SearchDay-1,,15-SearchDay),"&lt;="&amp; ValidC,OFFSET(D307:$Q307,0,SearchDay-1,,15-SearchDay),"&gt;-1")&gt;0,"Есть слот!","Ничего")</f>
        <v>Ничего</v>
      </c>
      <c r="U307">
        <f ca="1">IF(S307="Ищем",IF(StatTbl[[#This Row],[Доступность]]="Есть слот!",COUNTIFS(OFFSET(D307:$Q307,0,SearchDay-1),"&lt;="&amp; ValidC,OFFSET(D307:$Q307,0,SearchDay-1),"&gt;-1"),0),0)</f>
        <v>0</v>
      </c>
      <c r="V307" t="str" cm="1">
        <f t="array" aca="1" ref="V307" ca="1">IF(StatTbl[[#This Row],[Кол-во слотов]]&gt;0, B307&amp;" "&amp;C307&amp;" "&amp;_xlfn.TEXTJOIN(", ",FALSE,TEXT(_xlfn._xlws.FILTER(OFFSET($D$8:$Q$8,0,SearchDay-1,,15-SearchDay),(OFFSET(D307:Q307,0,SearchDay-1,,15-SearchDay)&gt;-1)*(OFFSET(D307:Q307,0,SearchDay-1,,15-SearchDay)&lt;=ValidC)),"ДД/ММ")),"")</f>
        <v/>
      </c>
      <c r="W307" t="str">
        <f t="shared" si="4"/>
        <v>СЦ Ростов-на-ДонуСуперсейф</v>
      </c>
      <c r="Y307" s="10"/>
      <c r="Z307" s="10"/>
      <c r="AA307" s="10"/>
      <c r="AB307" s="10"/>
    </row>
    <row r="308" spans="2:28" x14ac:dyDescent="0.45">
      <c r="B308" s="12" t="s">
        <v>80</v>
      </c>
      <c r="C308" s="12" t="s">
        <v>111</v>
      </c>
      <c r="D308" s="35">
        <v>-1</v>
      </c>
      <c r="E308" s="35">
        <v>-1</v>
      </c>
      <c r="F308" s="35">
        <v>-1</v>
      </c>
      <c r="G308" s="35">
        <v>-1</v>
      </c>
      <c r="H308" s="35">
        <v>-1</v>
      </c>
      <c r="I308" s="35">
        <v>-1</v>
      </c>
      <c r="J308" s="35">
        <v>-1</v>
      </c>
      <c r="K308" s="35">
        <v>-1</v>
      </c>
      <c r="L308" s="35">
        <v>-1</v>
      </c>
      <c r="M308" s="35">
        <v>-1</v>
      </c>
      <c r="N308" s="35">
        <v>-1</v>
      </c>
      <c r="O308" s="35">
        <v>-1</v>
      </c>
      <c r="P308" s="35">
        <v>-1</v>
      </c>
      <c r="Q308" s="35">
        <v>-1</v>
      </c>
      <c r="S308" s="5" t="str">
        <f>IF(_xlfn.XLOOKUP(StatTbl[[#This Row],[Join]],TargetSlots[Join],TargetSlots[Join],"Не найдено")&lt;&gt;"Не найдено","Ищем","Не ищем")</f>
        <v>Не ищем</v>
      </c>
      <c r="T308" s="4" t="str">
        <f ca="1">IF(COUNTIFS(OFFSET(D308:$Q308,0,SearchDay-1,,15-SearchDay),"&lt;="&amp; ValidC,OFFSET(D308:$Q308,0,SearchDay-1,,15-SearchDay),"&gt;-1")&gt;0,"Есть слот!","Ничего")</f>
        <v>Ничего</v>
      </c>
      <c r="U308">
        <f ca="1">IF(S308="Ищем",IF(StatTbl[[#This Row],[Доступность]]="Есть слот!",COUNTIFS(OFFSET(D308:$Q308,0,SearchDay-1),"&lt;="&amp; ValidC,OFFSET(D308:$Q308,0,SearchDay-1),"&gt;-1"),0),0)</f>
        <v>0</v>
      </c>
      <c r="V308" t="str" cm="1">
        <f t="array" aca="1" ref="V308" ca="1">IF(StatTbl[[#This Row],[Кол-во слотов]]&gt;0, B308&amp;" "&amp;C308&amp;" "&amp;_xlfn.TEXTJOIN(", ",FALSE,TEXT(_xlfn._xlws.FILTER(OFFSET($D$8:$Q$8,0,SearchDay-1,,15-SearchDay),(OFFSET(D308:Q308,0,SearchDay-1,,15-SearchDay)&gt;-1)*(OFFSET(D308:Q308,0,SearchDay-1,,15-SearchDay)&lt;=ValidC)),"ДД/ММ")),"")</f>
        <v/>
      </c>
      <c r="W308" t="str">
        <f t="shared" si="4"/>
        <v>СЦ Ростов-на-ДонуQR-поставка</v>
      </c>
      <c r="Y308" s="10"/>
      <c r="Z308" s="10"/>
      <c r="AA308" s="10"/>
      <c r="AB308" s="10"/>
    </row>
    <row r="309" spans="2:28" x14ac:dyDescent="0.45">
      <c r="B309" s="12" t="s">
        <v>81</v>
      </c>
      <c r="C309" s="12" t="s">
        <v>109</v>
      </c>
      <c r="D309" s="35">
        <v>-1</v>
      </c>
      <c r="E309" s="35">
        <v>-1</v>
      </c>
      <c r="F309" s="35">
        <v>-1</v>
      </c>
      <c r="G309" s="35">
        <v>-1</v>
      </c>
      <c r="H309" s="35">
        <v>-1</v>
      </c>
      <c r="I309" s="35">
        <v>-1</v>
      </c>
      <c r="J309" s="35">
        <v>-1</v>
      </c>
      <c r="K309" s="35">
        <v>-1</v>
      </c>
      <c r="L309" s="35">
        <v>-1</v>
      </c>
      <c r="M309" s="35">
        <v>-1</v>
      </c>
      <c r="N309" s="35">
        <v>-1</v>
      </c>
      <c r="O309" s="35">
        <v>-1</v>
      </c>
      <c r="P309" s="35">
        <v>-1</v>
      </c>
      <c r="Q309" s="35">
        <v>-1</v>
      </c>
      <c r="S309" s="5" t="str">
        <f>IF(_xlfn.XLOOKUP(StatTbl[[#This Row],[Join]],TargetSlots[Join],TargetSlots[Join],"Не найдено")&lt;&gt;"Не найдено","Ищем","Не ищем")</f>
        <v>Не ищем</v>
      </c>
      <c r="T309" s="4" t="str">
        <f ca="1">IF(COUNTIFS(OFFSET(D309:$Q309,0,SearchDay-1,,15-SearchDay),"&lt;="&amp; ValidC,OFFSET(D309:$Q309,0,SearchDay-1,,15-SearchDay),"&gt;-1")&gt;0,"Есть слот!","Ничего")</f>
        <v>Ничего</v>
      </c>
      <c r="U309">
        <f ca="1">IF(S309="Ищем",IF(StatTbl[[#This Row],[Доступность]]="Есть слот!",COUNTIFS(OFFSET(D309:$Q309,0,SearchDay-1),"&lt;="&amp; ValidC,OFFSET(D309:$Q309,0,SearchDay-1),"&gt;-1"),0),0)</f>
        <v>0</v>
      </c>
      <c r="V309" t="str" cm="1">
        <f t="array" aca="1" ref="V309" ca="1">IF(StatTbl[[#This Row],[Кол-во слотов]]&gt;0, B309&amp;" "&amp;C309&amp;" "&amp;_xlfn.TEXTJOIN(", ",FALSE,TEXT(_xlfn._xlws.FILTER(OFFSET($D$8:$Q$8,0,SearchDay-1,,15-SearchDay),(OFFSET(D309:Q309,0,SearchDay-1,,15-SearchDay)&gt;-1)*(OFFSET(D309:Q309,0,SearchDay-1,,15-SearchDay)&lt;=ValidC)),"ДД/ММ")),"")</f>
        <v/>
      </c>
      <c r="W309" t="str">
        <f t="shared" si="4"/>
        <v>СЦ СамараКороба</v>
      </c>
      <c r="Y309" s="10"/>
      <c r="Z309" s="10"/>
      <c r="AA309" s="10"/>
      <c r="AB309" s="10"/>
    </row>
    <row r="310" spans="2:28" x14ac:dyDescent="0.45">
      <c r="B310" s="12" t="s">
        <v>81</v>
      </c>
      <c r="C310" s="12" t="s">
        <v>110</v>
      </c>
      <c r="D310" s="35">
        <v>-1</v>
      </c>
      <c r="E310" s="35">
        <v>-1</v>
      </c>
      <c r="F310" s="35">
        <v>-1</v>
      </c>
      <c r="G310" s="35">
        <v>-1</v>
      </c>
      <c r="H310" s="35">
        <v>-1</v>
      </c>
      <c r="I310" s="35">
        <v>-1</v>
      </c>
      <c r="J310" s="35">
        <v>-1</v>
      </c>
      <c r="K310" s="35">
        <v>-1</v>
      </c>
      <c r="L310" s="35">
        <v>-1</v>
      </c>
      <c r="M310" s="35">
        <v>-1</v>
      </c>
      <c r="N310" s="35">
        <v>-1</v>
      </c>
      <c r="O310" s="35">
        <v>-1</v>
      </c>
      <c r="P310" s="35">
        <v>-1</v>
      </c>
      <c r="Q310" s="35">
        <v>-1</v>
      </c>
      <c r="S310" s="5" t="str">
        <f>IF(_xlfn.XLOOKUP(StatTbl[[#This Row],[Join]],TargetSlots[Join],TargetSlots[Join],"Не найдено")&lt;&gt;"Не найдено","Ищем","Не ищем")</f>
        <v>Не ищем</v>
      </c>
      <c r="T310" s="4" t="str">
        <f ca="1">IF(COUNTIFS(OFFSET(D310:$Q310,0,SearchDay-1,,15-SearchDay),"&lt;="&amp; ValidC,OFFSET(D310:$Q310,0,SearchDay-1,,15-SearchDay),"&gt;-1")&gt;0,"Есть слот!","Ничего")</f>
        <v>Ничего</v>
      </c>
      <c r="U310">
        <f ca="1">IF(S310="Ищем",IF(StatTbl[[#This Row],[Доступность]]="Есть слот!",COUNTIFS(OFFSET(D310:$Q310,0,SearchDay-1),"&lt;="&amp; ValidC,OFFSET(D310:$Q310,0,SearchDay-1),"&gt;-1"),0),0)</f>
        <v>0</v>
      </c>
      <c r="V310" t="str" cm="1">
        <f t="array" aca="1" ref="V310" ca="1">IF(StatTbl[[#This Row],[Кол-во слотов]]&gt;0, B310&amp;" "&amp;C310&amp;" "&amp;_xlfn.TEXTJOIN(", ",FALSE,TEXT(_xlfn._xlws.FILTER(OFFSET($D$8:$Q$8,0,SearchDay-1,,15-SearchDay),(OFFSET(D310:Q310,0,SearchDay-1,,15-SearchDay)&gt;-1)*(OFFSET(D310:Q310,0,SearchDay-1,,15-SearchDay)&lt;=ValidC)),"ДД/ММ")),"")</f>
        <v/>
      </c>
      <c r="W310" t="str">
        <f t="shared" si="4"/>
        <v>СЦ СамараМонопаллеты</v>
      </c>
      <c r="Y310" s="10"/>
      <c r="Z310" s="10"/>
      <c r="AA310" s="10"/>
      <c r="AB310" s="10"/>
    </row>
    <row r="311" spans="2:28" x14ac:dyDescent="0.45">
      <c r="B311" s="12" t="s">
        <v>81</v>
      </c>
      <c r="C311" s="12" t="s">
        <v>6</v>
      </c>
      <c r="D311" s="35">
        <v>-1</v>
      </c>
      <c r="E311" s="35">
        <v>-1</v>
      </c>
      <c r="F311" s="35">
        <v>-1</v>
      </c>
      <c r="G311" s="35">
        <v>-1</v>
      </c>
      <c r="H311" s="35">
        <v>-1</v>
      </c>
      <c r="I311" s="35">
        <v>-1</v>
      </c>
      <c r="J311" s="35">
        <v>-1</v>
      </c>
      <c r="K311" s="35">
        <v>-1</v>
      </c>
      <c r="L311" s="35">
        <v>-1</v>
      </c>
      <c r="M311" s="35">
        <v>-1</v>
      </c>
      <c r="N311" s="35">
        <v>-1</v>
      </c>
      <c r="O311" s="35">
        <v>-1</v>
      </c>
      <c r="P311" s="35">
        <v>-1</v>
      </c>
      <c r="Q311" s="35">
        <v>-1</v>
      </c>
      <c r="S311" s="5" t="str">
        <f>IF(_xlfn.XLOOKUP(StatTbl[[#This Row],[Join]],TargetSlots[Join],TargetSlots[Join],"Не найдено")&lt;&gt;"Не найдено","Ищем","Не ищем")</f>
        <v>Не ищем</v>
      </c>
      <c r="T311" s="4" t="str">
        <f ca="1">IF(COUNTIFS(OFFSET(D311:$Q311,0,SearchDay-1,,15-SearchDay),"&lt;="&amp; ValidC,OFFSET(D311:$Q311,0,SearchDay-1,,15-SearchDay),"&gt;-1")&gt;0,"Есть слот!","Ничего")</f>
        <v>Ничего</v>
      </c>
      <c r="U311">
        <f ca="1">IF(S311="Ищем",IF(StatTbl[[#This Row],[Доступность]]="Есть слот!",COUNTIFS(OFFSET(D311:$Q311,0,SearchDay-1),"&lt;="&amp; ValidC,OFFSET(D311:$Q311,0,SearchDay-1),"&gt;-1"),0),0)</f>
        <v>0</v>
      </c>
      <c r="V311" t="str" cm="1">
        <f t="array" aca="1" ref="V311" ca="1">IF(StatTbl[[#This Row],[Кол-во слотов]]&gt;0, B311&amp;" "&amp;C311&amp;" "&amp;_xlfn.TEXTJOIN(", ",FALSE,TEXT(_xlfn._xlws.FILTER(OFFSET($D$8:$Q$8,0,SearchDay-1,,15-SearchDay),(OFFSET(D311:Q311,0,SearchDay-1,,15-SearchDay)&gt;-1)*(OFFSET(D311:Q311,0,SearchDay-1,,15-SearchDay)&lt;=ValidC)),"ДД/ММ")),"")</f>
        <v/>
      </c>
      <c r="W311" t="str">
        <f t="shared" si="4"/>
        <v>СЦ СамараСуперсейф</v>
      </c>
      <c r="Y311" s="10"/>
      <c r="Z311" s="10"/>
      <c r="AA311" s="10"/>
      <c r="AB311" s="10"/>
    </row>
    <row r="312" spans="2:28" x14ac:dyDescent="0.45">
      <c r="B312" s="12" t="s">
        <v>81</v>
      </c>
      <c r="C312" s="12" t="s">
        <v>111</v>
      </c>
      <c r="D312" s="35">
        <v>-1</v>
      </c>
      <c r="E312" s="35">
        <v>-1</v>
      </c>
      <c r="F312" s="35">
        <v>-1</v>
      </c>
      <c r="G312" s="35">
        <v>-1</v>
      </c>
      <c r="H312" s="35">
        <v>-1</v>
      </c>
      <c r="I312" s="35">
        <v>-1</v>
      </c>
      <c r="J312" s="35">
        <v>-1</v>
      </c>
      <c r="K312" s="35">
        <v>-1</v>
      </c>
      <c r="L312" s="35">
        <v>-1</v>
      </c>
      <c r="M312" s="35">
        <v>-1</v>
      </c>
      <c r="N312" s="35">
        <v>-1</v>
      </c>
      <c r="O312" s="35">
        <v>-1</v>
      </c>
      <c r="P312" s="35">
        <v>-1</v>
      </c>
      <c r="Q312" s="35">
        <v>-1</v>
      </c>
      <c r="S312" s="5" t="str">
        <f>IF(_xlfn.XLOOKUP(StatTbl[[#This Row],[Join]],TargetSlots[Join],TargetSlots[Join],"Не найдено")&lt;&gt;"Не найдено","Ищем","Не ищем")</f>
        <v>Не ищем</v>
      </c>
      <c r="T312" s="4" t="str">
        <f ca="1">IF(COUNTIFS(OFFSET(D312:$Q312,0,SearchDay-1,,15-SearchDay),"&lt;="&amp; ValidC,OFFSET(D312:$Q312,0,SearchDay-1,,15-SearchDay),"&gt;-1")&gt;0,"Есть слот!","Ничего")</f>
        <v>Ничего</v>
      </c>
      <c r="U312">
        <f ca="1">IF(S312="Ищем",IF(StatTbl[[#This Row],[Доступность]]="Есть слот!",COUNTIFS(OFFSET(D312:$Q312,0,SearchDay-1),"&lt;="&amp; ValidC,OFFSET(D312:$Q312,0,SearchDay-1),"&gt;-1"),0),0)</f>
        <v>0</v>
      </c>
      <c r="V312" t="str" cm="1">
        <f t="array" aca="1" ref="V312" ca="1">IF(StatTbl[[#This Row],[Кол-во слотов]]&gt;0, B312&amp;" "&amp;C312&amp;" "&amp;_xlfn.TEXTJOIN(", ",FALSE,TEXT(_xlfn._xlws.FILTER(OFFSET($D$8:$Q$8,0,SearchDay-1,,15-SearchDay),(OFFSET(D312:Q312,0,SearchDay-1,,15-SearchDay)&gt;-1)*(OFFSET(D312:Q312,0,SearchDay-1,,15-SearchDay)&lt;=ValidC)),"ДД/ММ")),"")</f>
        <v/>
      </c>
      <c r="W312" t="str">
        <f t="shared" si="4"/>
        <v>СЦ СамараQR-поставка</v>
      </c>
      <c r="Y312" s="10"/>
      <c r="Z312" s="10"/>
      <c r="AA312" s="10"/>
      <c r="AB312" s="10"/>
    </row>
    <row r="313" spans="2:28" x14ac:dyDescent="0.45">
      <c r="B313" s="12" t="s">
        <v>82</v>
      </c>
      <c r="C313" s="12" t="s">
        <v>109</v>
      </c>
      <c r="D313" s="35">
        <v>-1</v>
      </c>
      <c r="E313" s="35">
        <v>-1</v>
      </c>
      <c r="F313" s="35">
        <v>-1</v>
      </c>
      <c r="G313" s="35">
        <v>-1</v>
      </c>
      <c r="H313" s="35">
        <v>-1</v>
      </c>
      <c r="I313" s="35">
        <v>-1</v>
      </c>
      <c r="J313" s="35">
        <v>-1</v>
      </c>
      <c r="K313" s="35">
        <v>-1</v>
      </c>
      <c r="L313" s="35">
        <v>-1</v>
      </c>
      <c r="M313" s="35">
        <v>-1</v>
      </c>
      <c r="N313" s="35">
        <v>-1</v>
      </c>
      <c r="O313" s="35">
        <v>-1</v>
      </c>
      <c r="P313" s="35">
        <v>-1</v>
      </c>
      <c r="Q313" s="35">
        <v>-1</v>
      </c>
      <c r="S313" s="5" t="str">
        <f>IF(_xlfn.XLOOKUP(StatTbl[[#This Row],[Join]],TargetSlots[Join],TargetSlots[Join],"Не найдено")&lt;&gt;"Не найдено","Ищем","Не ищем")</f>
        <v>Не ищем</v>
      </c>
      <c r="T313" s="4" t="str">
        <f ca="1">IF(COUNTIFS(OFFSET(D313:$Q313,0,SearchDay-1,,15-SearchDay),"&lt;="&amp; ValidC,OFFSET(D313:$Q313,0,SearchDay-1,,15-SearchDay),"&gt;-1")&gt;0,"Есть слот!","Ничего")</f>
        <v>Ничего</v>
      </c>
      <c r="U313">
        <f ca="1">IF(S313="Ищем",IF(StatTbl[[#This Row],[Доступность]]="Есть слот!",COUNTIFS(OFFSET(D313:$Q313,0,SearchDay-1),"&lt;="&amp; ValidC,OFFSET(D313:$Q313,0,SearchDay-1),"&gt;-1"),0),0)</f>
        <v>0</v>
      </c>
      <c r="V313" t="str" cm="1">
        <f t="array" aca="1" ref="V313" ca="1">IF(StatTbl[[#This Row],[Кол-во слотов]]&gt;0, B313&amp;" "&amp;C313&amp;" "&amp;_xlfn.TEXTJOIN(", ",FALSE,TEXT(_xlfn._xlws.FILTER(OFFSET($D$8:$Q$8,0,SearchDay-1,,15-SearchDay),(OFFSET(D313:Q313,0,SearchDay-1,,15-SearchDay)&gt;-1)*(OFFSET(D313:Q313,0,SearchDay-1,,15-SearchDay)&lt;=ValidC)),"ДД/ММ")),"")</f>
        <v/>
      </c>
      <c r="W313" t="str">
        <f t="shared" si="4"/>
        <v>СЦ СемейКороба</v>
      </c>
      <c r="Y313" s="10"/>
      <c r="Z313" s="10"/>
      <c r="AA313" s="10"/>
      <c r="AB313" s="10"/>
    </row>
    <row r="314" spans="2:28" x14ac:dyDescent="0.45">
      <c r="B314" s="12" t="s">
        <v>82</v>
      </c>
      <c r="C314" s="12" t="s">
        <v>110</v>
      </c>
      <c r="D314" s="35">
        <v>-1</v>
      </c>
      <c r="E314" s="35">
        <v>-1</v>
      </c>
      <c r="F314" s="35">
        <v>-1</v>
      </c>
      <c r="G314" s="35">
        <v>-1</v>
      </c>
      <c r="H314" s="35">
        <v>-1</v>
      </c>
      <c r="I314" s="35">
        <v>-1</v>
      </c>
      <c r="J314" s="35">
        <v>-1</v>
      </c>
      <c r="K314" s="35">
        <v>-1</v>
      </c>
      <c r="L314" s="35">
        <v>-1</v>
      </c>
      <c r="M314" s="35">
        <v>-1</v>
      </c>
      <c r="N314" s="35">
        <v>-1</v>
      </c>
      <c r="O314" s="35">
        <v>-1</v>
      </c>
      <c r="P314" s="35">
        <v>-1</v>
      </c>
      <c r="Q314" s="35">
        <v>-1</v>
      </c>
      <c r="S314" s="5" t="str">
        <f>IF(_xlfn.XLOOKUP(StatTbl[[#This Row],[Join]],TargetSlots[Join],TargetSlots[Join],"Не найдено")&lt;&gt;"Не найдено","Ищем","Не ищем")</f>
        <v>Не ищем</v>
      </c>
      <c r="T314" s="4" t="str">
        <f ca="1">IF(COUNTIFS(OFFSET(D314:$Q314,0,SearchDay-1,,15-SearchDay),"&lt;="&amp; ValidC,OFFSET(D314:$Q314,0,SearchDay-1,,15-SearchDay),"&gt;-1")&gt;0,"Есть слот!","Ничего")</f>
        <v>Ничего</v>
      </c>
      <c r="U314">
        <f ca="1">IF(S314="Ищем",IF(StatTbl[[#This Row],[Доступность]]="Есть слот!",COUNTIFS(OFFSET(D314:$Q314,0,SearchDay-1),"&lt;="&amp; ValidC,OFFSET(D314:$Q314,0,SearchDay-1),"&gt;-1"),0),0)</f>
        <v>0</v>
      </c>
      <c r="V314" t="str" cm="1">
        <f t="array" aca="1" ref="V314" ca="1">IF(StatTbl[[#This Row],[Кол-во слотов]]&gt;0, B314&amp;" "&amp;C314&amp;" "&amp;_xlfn.TEXTJOIN(", ",FALSE,TEXT(_xlfn._xlws.FILTER(OFFSET($D$8:$Q$8,0,SearchDay-1,,15-SearchDay),(OFFSET(D314:Q314,0,SearchDay-1,,15-SearchDay)&gt;-1)*(OFFSET(D314:Q314,0,SearchDay-1,,15-SearchDay)&lt;=ValidC)),"ДД/ММ")),"")</f>
        <v/>
      </c>
      <c r="W314" t="str">
        <f t="shared" si="4"/>
        <v>СЦ СемейМонопаллеты</v>
      </c>
      <c r="Y314" s="10"/>
      <c r="Z314" s="10"/>
      <c r="AA314" s="10"/>
      <c r="AB314" s="10"/>
    </row>
    <row r="315" spans="2:28" x14ac:dyDescent="0.45">
      <c r="B315" s="12" t="s">
        <v>82</v>
      </c>
      <c r="C315" s="12" t="s">
        <v>6</v>
      </c>
      <c r="D315" s="35">
        <v>-1</v>
      </c>
      <c r="E315" s="35">
        <v>-1</v>
      </c>
      <c r="F315" s="35">
        <v>-1</v>
      </c>
      <c r="G315" s="35">
        <v>-1</v>
      </c>
      <c r="H315" s="35">
        <v>-1</v>
      </c>
      <c r="I315" s="35">
        <v>-1</v>
      </c>
      <c r="J315" s="35">
        <v>-1</v>
      </c>
      <c r="K315" s="35">
        <v>-1</v>
      </c>
      <c r="L315" s="35">
        <v>-1</v>
      </c>
      <c r="M315" s="35">
        <v>-1</v>
      </c>
      <c r="N315" s="35">
        <v>-1</v>
      </c>
      <c r="O315" s="35">
        <v>-1</v>
      </c>
      <c r="P315" s="35">
        <v>-1</v>
      </c>
      <c r="Q315" s="35">
        <v>-1</v>
      </c>
      <c r="S315" s="5" t="str">
        <f>IF(_xlfn.XLOOKUP(StatTbl[[#This Row],[Join]],TargetSlots[Join],TargetSlots[Join],"Не найдено")&lt;&gt;"Не найдено","Ищем","Не ищем")</f>
        <v>Не ищем</v>
      </c>
      <c r="T315" s="4" t="str">
        <f ca="1">IF(COUNTIFS(OFFSET(D315:$Q315,0,SearchDay-1,,15-SearchDay),"&lt;="&amp; ValidC,OFFSET(D315:$Q315,0,SearchDay-1,,15-SearchDay),"&gt;-1")&gt;0,"Есть слот!","Ничего")</f>
        <v>Ничего</v>
      </c>
      <c r="U315">
        <f ca="1">IF(S315="Ищем",IF(StatTbl[[#This Row],[Доступность]]="Есть слот!",COUNTIFS(OFFSET(D315:$Q315,0,SearchDay-1),"&lt;="&amp; ValidC,OFFSET(D315:$Q315,0,SearchDay-1),"&gt;-1"),0),0)</f>
        <v>0</v>
      </c>
      <c r="V315" t="str" cm="1">
        <f t="array" aca="1" ref="V315" ca="1">IF(StatTbl[[#This Row],[Кол-во слотов]]&gt;0, B315&amp;" "&amp;C315&amp;" "&amp;_xlfn.TEXTJOIN(", ",FALSE,TEXT(_xlfn._xlws.FILTER(OFFSET($D$8:$Q$8,0,SearchDay-1,,15-SearchDay),(OFFSET(D315:Q315,0,SearchDay-1,,15-SearchDay)&gt;-1)*(OFFSET(D315:Q315,0,SearchDay-1,,15-SearchDay)&lt;=ValidC)),"ДД/ММ")),"")</f>
        <v/>
      </c>
      <c r="W315" t="str">
        <f t="shared" si="4"/>
        <v>СЦ СемейСуперсейф</v>
      </c>
      <c r="Y315" s="10"/>
      <c r="Z315" s="10"/>
      <c r="AA315" s="10"/>
      <c r="AB315" s="10"/>
    </row>
    <row r="316" spans="2:28" x14ac:dyDescent="0.45">
      <c r="B316" s="12" t="s">
        <v>82</v>
      </c>
      <c r="C316" s="12" t="s">
        <v>111</v>
      </c>
      <c r="D316" s="35">
        <v>-1</v>
      </c>
      <c r="E316" s="35">
        <v>-1</v>
      </c>
      <c r="F316" s="35">
        <v>-1</v>
      </c>
      <c r="G316" s="35">
        <v>-1</v>
      </c>
      <c r="H316" s="35">
        <v>-1</v>
      </c>
      <c r="I316" s="35">
        <v>-1</v>
      </c>
      <c r="J316" s="35">
        <v>-1</v>
      </c>
      <c r="K316" s="35">
        <v>-1</v>
      </c>
      <c r="L316" s="35">
        <v>-1</v>
      </c>
      <c r="M316" s="35">
        <v>-1</v>
      </c>
      <c r="N316" s="35">
        <v>-1</v>
      </c>
      <c r="O316" s="35">
        <v>-1</v>
      </c>
      <c r="P316" s="35">
        <v>-1</v>
      </c>
      <c r="Q316" s="35">
        <v>-1</v>
      </c>
      <c r="S316" s="5" t="str">
        <f>IF(_xlfn.XLOOKUP(StatTbl[[#This Row],[Join]],TargetSlots[Join],TargetSlots[Join],"Не найдено")&lt;&gt;"Не найдено","Ищем","Не ищем")</f>
        <v>Не ищем</v>
      </c>
      <c r="T316" s="4" t="str">
        <f ca="1">IF(COUNTIFS(OFFSET(D316:$Q316,0,SearchDay-1,,15-SearchDay),"&lt;="&amp; ValidC,OFFSET(D316:$Q316,0,SearchDay-1,,15-SearchDay),"&gt;-1")&gt;0,"Есть слот!","Ничего")</f>
        <v>Ничего</v>
      </c>
      <c r="U316">
        <f ca="1">IF(S316="Ищем",IF(StatTbl[[#This Row],[Доступность]]="Есть слот!",COUNTIFS(OFFSET(D316:$Q316,0,SearchDay-1),"&lt;="&amp; ValidC,OFFSET(D316:$Q316,0,SearchDay-1),"&gt;-1"),0),0)</f>
        <v>0</v>
      </c>
      <c r="V316" t="str" cm="1">
        <f t="array" aca="1" ref="V316" ca="1">IF(StatTbl[[#This Row],[Кол-во слотов]]&gt;0, B316&amp;" "&amp;C316&amp;" "&amp;_xlfn.TEXTJOIN(", ",FALSE,TEXT(_xlfn._xlws.FILTER(OFFSET($D$8:$Q$8,0,SearchDay-1,,15-SearchDay),(OFFSET(D316:Q316,0,SearchDay-1,,15-SearchDay)&gt;-1)*(OFFSET(D316:Q316,0,SearchDay-1,,15-SearchDay)&lt;=ValidC)),"ДД/ММ")),"")</f>
        <v/>
      </c>
      <c r="W316" t="str">
        <f t="shared" si="4"/>
        <v>СЦ СемейQR-поставка</v>
      </c>
      <c r="Y316" s="10"/>
      <c r="Z316" s="10"/>
      <c r="AA316" s="10"/>
      <c r="AB316" s="10"/>
    </row>
    <row r="317" spans="2:28" x14ac:dyDescent="0.45">
      <c r="B317" s="12" t="s">
        <v>83</v>
      </c>
      <c r="C317" s="12" t="s">
        <v>109</v>
      </c>
      <c r="D317" s="35">
        <v>-1</v>
      </c>
      <c r="E317" s="35">
        <v>-1</v>
      </c>
      <c r="F317" s="35">
        <v>-1</v>
      </c>
      <c r="G317" s="35">
        <v>-1</v>
      </c>
      <c r="H317" s="35">
        <v>-1</v>
      </c>
      <c r="I317" s="35">
        <v>-1</v>
      </c>
      <c r="J317" s="35">
        <v>-1</v>
      </c>
      <c r="K317" s="35">
        <v>-1</v>
      </c>
      <c r="L317" s="35">
        <v>-1</v>
      </c>
      <c r="M317" s="35">
        <v>-1</v>
      </c>
      <c r="N317" s="35">
        <v>-1</v>
      </c>
      <c r="O317" s="35">
        <v>-1</v>
      </c>
      <c r="P317" s="35">
        <v>-1</v>
      </c>
      <c r="Q317" s="35">
        <v>-1</v>
      </c>
      <c r="S317" s="5" t="str">
        <f>IF(_xlfn.XLOOKUP(StatTbl[[#This Row],[Join]],TargetSlots[Join],TargetSlots[Join],"Не найдено")&lt;&gt;"Не найдено","Ищем","Не ищем")</f>
        <v>Не ищем</v>
      </c>
      <c r="T317" s="4" t="str">
        <f ca="1">IF(COUNTIFS(OFFSET(D317:$Q317,0,SearchDay-1,,15-SearchDay),"&lt;="&amp; ValidC,OFFSET(D317:$Q317,0,SearchDay-1,,15-SearchDay),"&gt;-1")&gt;0,"Есть слот!","Ничего")</f>
        <v>Ничего</v>
      </c>
      <c r="U317">
        <f ca="1">IF(S317="Ищем",IF(StatTbl[[#This Row],[Доступность]]="Есть слот!",COUNTIFS(OFFSET(D317:$Q317,0,SearchDay-1),"&lt;="&amp; ValidC,OFFSET(D317:$Q317,0,SearchDay-1),"&gt;-1"),0),0)</f>
        <v>0</v>
      </c>
      <c r="V317" t="str" cm="1">
        <f t="array" aca="1" ref="V317" ca="1">IF(StatTbl[[#This Row],[Кол-во слотов]]&gt;0, B317&amp;" "&amp;C317&amp;" "&amp;_xlfn.TEXTJOIN(", ",FALSE,TEXT(_xlfn._xlws.FILTER(OFFSET($D$8:$Q$8,0,SearchDay-1,,15-SearchDay),(OFFSET(D317:Q317,0,SearchDay-1,,15-SearchDay)&gt;-1)*(OFFSET(D317:Q317,0,SearchDay-1,,15-SearchDay)&lt;=ValidC)),"ДД/ММ")),"")</f>
        <v/>
      </c>
      <c r="W317" t="str">
        <f t="shared" si="4"/>
        <v>СЦ СеровКороба</v>
      </c>
      <c r="Y317" s="10"/>
      <c r="Z317" s="10"/>
      <c r="AA317" s="10"/>
      <c r="AB317" s="10"/>
    </row>
    <row r="318" spans="2:28" x14ac:dyDescent="0.45">
      <c r="B318" s="12" t="s">
        <v>83</v>
      </c>
      <c r="C318" s="12" t="s">
        <v>110</v>
      </c>
      <c r="D318" s="35">
        <v>-1</v>
      </c>
      <c r="E318" s="35">
        <v>-1</v>
      </c>
      <c r="F318" s="35">
        <v>-1</v>
      </c>
      <c r="G318" s="35">
        <v>-1</v>
      </c>
      <c r="H318" s="35">
        <v>-1</v>
      </c>
      <c r="I318" s="35">
        <v>-1</v>
      </c>
      <c r="J318" s="35">
        <v>-1</v>
      </c>
      <c r="K318" s="35">
        <v>-1</v>
      </c>
      <c r="L318" s="35">
        <v>-1</v>
      </c>
      <c r="M318" s="35">
        <v>-1</v>
      </c>
      <c r="N318" s="35">
        <v>-1</v>
      </c>
      <c r="O318" s="35">
        <v>-1</v>
      </c>
      <c r="P318" s="35">
        <v>-1</v>
      </c>
      <c r="Q318" s="35">
        <v>-1</v>
      </c>
      <c r="S318" s="5" t="str">
        <f>IF(_xlfn.XLOOKUP(StatTbl[[#This Row],[Join]],TargetSlots[Join],TargetSlots[Join],"Не найдено")&lt;&gt;"Не найдено","Ищем","Не ищем")</f>
        <v>Не ищем</v>
      </c>
      <c r="T318" s="4" t="str">
        <f ca="1">IF(COUNTIFS(OFFSET(D318:$Q318,0,SearchDay-1,,15-SearchDay),"&lt;="&amp; ValidC,OFFSET(D318:$Q318,0,SearchDay-1,,15-SearchDay),"&gt;-1")&gt;0,"Есть слот!","Ничего")</f>
        <v>Ничего</v>
      </c>
      <c r="U318">
        <f ca="1">IF(S318="Ищем",IF(StatTbl[[#This Row],[Доступность]]="Есть слот!",COUNTIFS(OFFSET(D318:$Q318,0,SearchDay-1),"&lt;="&amp; ValidC,OFFSET(D318:$Q318,0,SearchDay-1),"&gt;-1"),0),0)</f>
        <v>0</v>
      </c>
      <c r="V318" t="str" cm="1">
        <f t="array" aca="1" ref="V318" ca="1">IF(StatTbl[[#This Row],[Кол-во слотов]]&gt;0, B318&amp;" "&amp;C318&amp;" "&amp;_xlfn.TEXTJOIN(", ",FALSE,TEXT(_xlfn._xlws.FILTER(OFFSET($D$8:$Q$8,0,SearchDay-1,,15-SearchDay),(OFFSET(D318:Q318,0,SearchDay-1,,15-SearchDay)&gt;-1)*(OFFSET(D318:Q318,0,SearchDay-1,,15-SearchDay)&lt;=ValidC)),"ДД/ММ")),"")</f>
        <v/>
      </c>
      <c r="W318" t="str">
        <f t="shared" si="4"/>
        <v>СЦ СеровМонопаллеты</v>
      </c>
      <c r="Y318" s="10"/>
      <c r="Z318" s="10"/>
      <c r="AA318" s="10"/>
      <c r="AB318" s="10"/>
    </row>
    <row r="319" spans="2:28" x14ac:dyDescent="0.45">
      <c r="B319" s="12" t="s">
        <v>83</v>
      </c>
      <c r="C319" s="12" t="s">
        <v>6</v>
      </c>
      <c r="D319" s="35">
        <v>-1</v>
      </c>
      <c r="E319" s="35">
        <v>-1</v>
      </c>
      <c r="F319" s="35">
        <v>-1</v>
      </c>
      <c r="G319" s="35">
        <v>-1</v>
      </c>
      <c r="H319" s="35">
        <v>-1</v>
      </c>
      <c r="I319" s="35">
        <v>-1</v>
      </c>
      <c r="J319" s="35">
        <v>-1</v>
      </c>
      <c r="K319" s="35">
        <v>-1</v>
      </c>
      <c r="L319" s="35">
        <v>-1</v>
      </c>
      <c r="M319" s="35">
        <v>-1</v>
      </c>
      <c r="N319" s="35">
        <v>-1</v>
      </c>
      <c r="O319" s="35">
        <v>-1</v>
      </c>
      <c r="P319" s="35">
        <v>-1</v>
      </c>
      <c r="Q319" s="35">
        <v>-1</v>
      </c>
      <c r="S319" s="5" t="str">
        <f>IF(_xlfn.XLOOKUP(StatTbl[[#This Row],[Join]],TargetSlots[Join],TargetSlots[Join],"Не найдено")&lt;&gt;"Не найдено","Ищем","Не ищем")</f>
        <v>Не ищем</v>
      </c>
      <c r="T319" s="4" t="str">
        <f ca="1">IF(COUNTIFS(OFFSET(D319:$Q319,0,SearchDay-1,,15-SearchDay),"&lt;="&amp; ValidC,OFFSET(D319:$Q319,0,SearchDay-1,,15-SearchDay),"&gt;-1")&gt;0,"Есть слот!","Ничего")</f>
        <v>Ничего</v>
      </c>
      <c r="U319">
        <f ca="1">IF(S319="Ищем",IF(StatTbl[[#This Row],[Доступность]]="Есть слот!",COUNTIFS(OFFSET(D319:$Q319,0,SearchDay-1),"&lt;="&amp; ValidC,OFFSET(D319:$Q319,0,SearchDay-1),"&gt;-1"),0),0)</f>
        <v>0</v>
      </c>
      <c r="V319" t="str" cm="1">
        <f t="array" aca="1" ref="V319" ca="1">IF(StatTbl[[#This Row],[Кол-во слотов]]&gt;0, B319&amp;" "&amp;C319&amp;" "&amp;_xlfn.TEXTJOIN(", ",FALSE,TEXT(_xlfn._xlws.FILTER(OFFSET($D$8:$Q$8,0,SearchDay-1,,15-SearchDay),(OFFSET(D319:Q319,0,SearchDay-1,,15-SearchDay)&gt;-1)*(OFFSET(D319:Q319,0,SearchDay-1,,15-SearchDay)&lt;=ValidC)),"ДД/ММ")),"")</f>
        <v/>
      </c>
      <c r="W319" t="str">
        <f t="shared" si="4"/>
        <v>СЦ СеровСуперсейф</v>
      </c>
      <c r="Y319" s="10"/>
      <c r="Z319" s="10"/>
      <c r="AA319" s="10"/>
      <c r="AB319" s="10"/>
    </row>
    <row r="320" spans="2:28" x14ac:dyDescent="0.45">
      <c r="B320" s="12" t="s">
        <v>83</v>
      </c>
      <c r="C320" s="12" t="s">
        <v>111</v>
      </c>
      <c r="D320" s="35">
        <v>-1</v>
      </c>
      <c r="E320" s="35">
        <v>-1</v>
      </c>
      <c r="F320" s="35">
        <v>-1</v>
      </c>
      <c r="G320" s="35">
        <v>-1</v>
      </c>
      <c r="H320" s="35">
        <v>-1</v>
      </c>
      <c r="I320" s="35">
        <v>-1</v>
      </c>
      <c r="J320" s="35">
        <v>-1</v>
      </c>
      <c r="K320" s="35">
        <v>-1</v>
      </c>
      <c r="L320" s="35">
        <v>-1</v>
      </c>
      <c r="M320" s="35">
        <v>-1</v>
      </c>
      <c r="N320" s="35">
        <v>-1</v>
      </c>
      <c r="O320" s="35">
        <v>-1</v>
      </c>
      <c r="P320" s="35">
        <v>-1</v>
      </c>
      <c r="Q320" s="35">
        <v>-1</v>
      </c>
      <c r="S320" s="5" t="str">
        <f>IF(_xlfn.XLOOKUP(StatTbl[[#This Row],[Join]],TargetSlots[Join],TargetSlots[Join],"Не найдено")&lt;&gt;"Не найдено","Ищем","Не ищем")</f>
        <v>Не ищем</v>
      </c>
      <c r="T320" s="4" t="str">
        <f ca="1">IF(COUNTIFS(OFFSET(D320:$Q320,0,SearchDay-1,,15-SearchDay),"&lt;="&amp; ValidC,OFFSET(D320:$Q320,0,SearchDay-1,,15-SearchDay),"&gt;-1")&gt;0,"Есть слот!","Ничего")</f>
        <v>Ничего</v>
      </c>
      <c r="U320">
        <f ca="1">IF(S320="Ищем",IF(StatTbl[[#This Row],[Доступность]]="Есть слот!",COUNTIFS(OFFSET(D320:$Q320,0,SearchDay-1),"&lt;="&amp; ValidC,OFFSET(D320:$Q320,0,SearchDay-1),"&gt;-1"),0),0)</f>
        <v>0</v>
      </c>
      <c r="V320" t="str" cm="1">
        <f t="array" aca="1" ref="V320" ca="1">IF(StatTbl[[#This Row],[Кол-во слотов]]&gt;0, B320&amp;" "&amp;C320&amp;" "&amp;_xlfn.TEXTJOIN(", ",FALSE,TEXT(_xlfn._xlws.FILTER(OFFSET($D$8:$Q$8,0,SearchDay-1,,15-SearchDay),(OFFSET(D320:Q320,0,SearchDay-1,,15-SearchDay)&gt;-1)*(OFFSET(D320:Q320,0,SearchDay-1,,15-SearchDay)&lt;=ValidC)),"ДД/ММ")),"")</f>
        <v/>
      </c>
      <c r="W320" t="str">
        <f t="shared" si="4"/>
        <v>СЦ СеровQR-поставка</v>
      </c>
      <c r="Y320" s="10"/>
      <c r="Z320" s="10"/>
      <c r="AA320" s="10"/>
      <c r="AB320" s="10"/>
    </row>
    <row r="321" spans="2:28" x14ac:dyDescent="0.45">
      <c r="B321" s="12" t="s">
        <v>84</v>
      </c>
      <c r="C321" s="12" t="s">
        <v>109</v>
      </c>
      <c r="D321" s="35">
        <v>-1</v>
      </c>
      <c r="E321" s="35">
        <v>-1</v>
      </c>
      <c r="F321" s="35">
        <v>-1</v>
      </c>
      <c r="G321" s="35">
        <v>-1</v>
      </c>
      <c r="H321" s="35">
        <v>-1</v>
      </c>
      <c r="I321" s="35">
        <v>-1</v>
      </c>
      <c r="J321" s="35">
        <v>-1</v>
      </c>
      <c r="K321" s="35">
        <v>-1</v>
      </c>
      <c r="L321" s="35">
        <v>-1</v>
      </c>
      <c r="M321" s="35">
        <v>-1</v>
      </c>
      <c r="N321" s="35">
        <v>-1</v>
      </c>
      <c r="O321" s="35">
        <v>-1</v>
      </c>
      <c r="P321" s="35">
        <v>-1</v>
      </c>
      <c r="Q321" s="35">
        <v>-1</v>
      </c>
      <c r="S321" s="5" t="str">
        <f>IF(_xlfn.XLOOKUP(StatTbl[[#This Row],[Join]],TargetSlots[Join],TargetSlots[Join],"Не найдено")&lt;&gt;"Не найдено","Ищем","Не ищем")</f>
        <v>Не ищем</v>
      </c>
      <c r="T321" s="4" t="str">
        <f ca="1">IF(COUNTIFS(OFFSET(D321:$Q321,0,SearchDay-1,,15-SearchDay),"&lt;="&amp; ValidC,OFFSET(D321:$Q321,0,SearchDay-1,,15-SearchDay),"&gt;-1")&gt;0,"Есть слот!","Ничего")</f>
        <v>Ничего</v>
      </c>
      <c r="U321">
        <f ca="1">IF(S321="Ищем",IF(StatTbl[[#This Row],[Доступность]]="Есть слот!",COUNTIFS(OFFSET(D321:$Q321,0,SearchDay-1),"&lt;="&amp; ValidC,OFFSET(D321:$Q321,0,SearchDay-1),"&gt;-1"),0),0)</f>
        <v>0</v>
      </c>
      <c r="V321" t="str" cm="1">
        <f t="array" aca="1" ref="V321" ca="1">IF(StatTbl[[#This Row],[Кол-во слотов]]&gt;0, B321&amp;" "&amp;C321&amp;" "&amp;_xlfn.TEXTJOIN(", ",FALSE,TEXT(_xlfn._xlws.FILTER(OFFSET($D$8:$Q$8,0,SearchDay-1,,15-SearchDay),(OFFSET(D321:Q321,0,SearchDay-1,,15-SearchDay)&gt;-1)*(OFFSET(D321:Q321,0,SearchDay-1,,15-SearchDay)&lt;=ValidC)),"ДД/ММ")),"")</f>
        <v/>
      </c>
      <c r="W321" t="str">
        <f t="shared" si="4"/>
        <v>СЦ СимферопольКороба</v>
      </c>
      <c r="Y321" s="10"/>
      <c r="Z321" s="10"/>
      <c r="AA321" s="10"/>
      <c r="AB321" s="10"/>
    </row>
    <row r="322" spans="2:28" x14ac:dyDescent="0.45">
      <c r="B322" s="12" t="s">
        <v>84</v>
      </c>
      <c r="C322" s="12" t="s">
        <v>110</v>
      </c>
      <c r="D322" s="35">
        <v>-1</v>
      </c>
      <c r="E322" s="35">
        <v>-1</v>
      </c>
      <c r="F322" s="35">
        <v>-1</v>
      </c>
      <c r="G322" s="35">
        <v>-1</v>
      </c>
      <c r="H322" s="35">
        <v>-1</v>
      </c>
      <c r="I322" s="35">
        <v>-1</v>
      </c>
      <c r="J322" s="35">
        <v>-1</v>
      </c>
      <c r="K322" s="35">
        <v>-1</v>
      </c>
      <c r="L322" s="35">
        <v>-1</v>
      </c>
      <c r="M322" s="35">
        <v>-1</v>
      </c>
      <c r="N322" s="35">
        <v>-1</v>
      </c>
      <c r="O322" s="35">
        <v>-1</v>
      </c>
      <c r="P322" s="35">
        <v>-1</v>
      </c>
      <c r="Q322" s="35">
        <v>-1</v>
      </c>
      <c r="S322" s="5" t="str">
        <f>IF(_xlfn.XLOOKUP(StatTbl[[#This Row],[Join]],TargetSlots[Join],TargetSlots[Join],"Не найдено")&lt;&gt;"Не найдено","Ищем","Не ищем")</f>
        <v>Не ищем</v>
      </c>
      <c r="T322" s="4" t="str">
        <f ca="1">IF(COUNTIFS(OFFSET(D322:$Q322,0,SearchDay-1,,15-SearchDay),"&lt;="&amp; ValidC,OFFSET(D322:$Q322,0,SearchDay-1,,15-SearchDay),"&gt;-1")&gt;0,"Есть слот!","Ничего")</f>
        <v>Ничего</v>
      </c>
      <c r="U322">
        <f ca="1">IF(S322="Ищем",IF(StatTbl[[#This Row],[Доступность]]="Есть слот!",COUNTIFS(OFFSET(D322:$Q322,0,SearchDay-1),"&lt;="&amp; ValidC,OFFSET(D322:$Q322,0,SearchDay-1),"&gt;-1"),0),0)</f>
        <v>0</v>
      </c>
      <c r="V322" t="str" cm="1">
        <f t="array" aca="1" ref="V322" ca="1">IF(StatTbl[[#This Row],[Кол-во слотов]]&gt;0, B322&amp;" "&amp;C322&amp;" "&amp;_xlfn.TEXTJOIN(", ",FALSE,TEXT(_xlfn._xlws.FILTER(OFFSET($D$8:$Q$8,0,SearchDay-1,,15-SearchDay),(OFFSET(D322:Q322,0,SearchDay-1,,15-SearchDay)&gt;-1)*(OFFSET(D322:Q322,0,SearchDay-1,,15-SearchDay)&lt;=ValidC)),"ДД/ММ")),"")</f>
        <v/>
      </c>
      <c r="W322" t="str">
        <f t="shared" si="4"/>
        <v>СЦ СимферопольМонопаллеты</v>
      </c>
      <c r="Y322" s="10"/>
      <c r="Z322" s="10"/>
      <c r="AA322" s="10"/>
      <c r="AB322" s="10"/>
    </row>
    <row r="323" spans="2:28" x14ac:dyDescent="0.45">
      <c r="B323" s="12" t="s">
        <v>84</v>
      </c>
      <c r="C323" s="12" t="s">
        <v>6</v>
      </c>
      <c r="D323" s="35">
        <v>-1</v>
      </c>
      <c r="E323" s="35">
        <v>-1</v>
      </c>
      <c r="F323" s="35">
        <v>-1</v>
      </c>
      <c r="G323" s="35">
        <v>-1</v>
      </c>
      <c r="H323" s="35">
        <v>-1</v>
      </c>
      <c r="I323" s="35">
        <v>-1</v>
      </c>
      <c r="J323" s="35">
        <v>-1</v>
      </c>
      <c r="K323" s="35">
        <v>-1</v>
      </c>
      <c r="L323" s="35">
        <v>-1</v>
      </c>
      <c r="M323" s="35">
        <v>-1</v>
      </c>
      <c r="N323" s="35">
        <v>-1</v>
      </c>
      <c r="O323" s="35">
        <v>-1</v>
      </c>
      <c r="P323" s="35">
        <v>-1</v>
      </c>
      <c r="Q323" s="35">
        <v>-1</v>
      </c>
      <c r="S323" s="5" t="str">
        <f>IF(_xlfn.XLOOKUP(StatTbl[[#This Row],[Join]],TargetSlots[Join],TargetSlots[Join],"Не найдено")&lt;&gt;"Не найдено","Ищем","Не ищем")</f>
        <v>Не ищем</v>
      </c>
      <c r="T323" s="4" t="str">
        <f ca="1">IF(COUNTIFS(OFFSET(D323:$Q323,0,SearchDay-1,,15-SearchDay),"&lt;="&amp; ValidC,OFFSET(D323:$Q323,0,SearchDay-1,,15-SearchDay),"&gt;-1")&gt;0,"Есть слот!","Ничего")</f>
        <v>Ничего</v>
      </c>
      <c r="U323">
        <f ca="1">IF(S323="Ищем",IF(StatTbl[[#This Row],[Доступность]]="Есть слот!",COUNTIFS(OFFSET(D323:$Q323,0,SearchDay-1),"&lt;="&amp; ValidC,OFFSET(D323:$Q323,0,SearchDay-1),"&gt;-1"),0),0)</f>
        <v>0</v>
      </c>
      <c r="V323" t="str" cm="1">
        <f t="array" aca="1" ref="V323" ca="1">IF(StatTbl[[#This Row],[Кол-во слотов]]&gt;0, B323&amp;" "&amp;C323&amp;" "&amp;_xlfn.TEXTJOIN(", ",FALSE,TEXT(_xlfn._xlws.FILTER(OFFSET($D$8:$Q$8,0,SearchDay-1,,15-SearchDay),(OFFSET(D323:Q323,0,SearchDay-1,,15-SearchDay)&gt;-1)*(OFFSET(D323:Q323,0,SearchDay-1,,15-SearchDay)&lt;=ValidC)),"ДД/ММ")),"")</f>
        <v/>
      </c>
      <c r="W323" t="str">
        <f t="shared" si="4"/>
        <v>СЦ СимферопольСуперсейф</v>
      </c>
      <c r="Y323" s="10"/>
      <c r="Z323" s="10"/>
      <c r="AA323" s="10"/>
      <c r="AB323" s="10"/>
    </row>
    <row r="324" spans="2:28" x14ac:dyDescent="0.45">
      <c r="B324" s="12" t="s">
        <v>84</v>
      </c>
      <c r="C324" s="12" t="s">
        <v>111</v>
      </c>
      <c r="D324" s="35">
        <v>-1</v>
      </c>
      <c r="E324" s="35">
        <v>-1</v>
      </c>
      <c r="F324" s="35">
        <v>-1</v>
      </c>
      <c r="G324" s="35">
        <v>-1</v>
      </c>
      <c r="H324" s="35">
        <v>-1</v>
      </c>
      <c r="I324" s="35">
        <v>-1</v>
      </c>
      <c r="J324" s="35">
        <v>-1</v>
      </c>
      <c r="K324" s="35">
        <v>-1</v>
      </c>
      <c r="L324" s="35">
        <v>-1</v>
      </c>
      <c r="M324" s="35">
        <v>-1</v>
      </c>
      <c r="N324" s="35">
        <v>-1</v>
      </c>
      <c r="O324" s="35">
        <v>-1</v>
      </c>
      <c r="P324" s="35">
        <v>-1</v>
      </c>
      <c r="Q324" s="35">
        <v>-1</v>
      </c>
      <c r="S324" s="5" t="str">
        <f>IF(_xlfn.XLOOKUP(StatTbl[[#This Row],[Join]],TargetSlots[Join],TargetSlots[Join],"Не найдено")&lt;&gt;"Не найдено","Ищем","Не ищем")</f>
        <v>Не ищем</v>
      </c>
      <c r="T324" s="4" t="str">
        <f ca="1">IF(COUNTIFS(OFFSET(D324:$Q324,0,SearchDay-1,,15-SearchDay),"&lt;="&amp; ValidC,OFFSET(D324:$Q324,0,SearchDay-1,,15-SearchDay),"&gt;-1")&gt;0,"Есть слот!","Ничего")</f>
        <v>Ничего</v>
      </c>
      <c r="U324">
        <f ca="1">IF(S324="Ищем",IF(StatTbl[[#This Row],[Доступность]]="Есть слот!",COUNTIFS(OFFSET(D324:$Q324,0,SearchDay-1),"&lt;="&amp; ValidC,OFFSET(D324:$Q324,0,SearchDay-1),"&gt;-1"),0),0)</f>
        <v>0</v>
      </c>
      <c r="V324" t="str" cm="1">
        <f t="array" aca="1" ref="V324" ca="1">IF(StatTbl[[#This Row],[Кол-во слотов]]&gt;0, B324&amp;" "&amp;C324&amp;" "&amp;_xlfn.TEXTJOIN(", ",FALSE,TEXT(_xlfn._xlws.FILTER(OFFSET($D$8:$Q$8,0,SearchDay-1,,15-SearchDay),(OFFSET(D324:Q324,0,SearchDay-1,,15-SearchDay)&gt;-1)*(OFFSET(D324:Q324,0,SearchDay-1,,15-SearchDay)&lt;=ValidC)),"ДД/ММ")),"")</f>
        <v/>
      </c>
      <c r="W324" t="str">
        <f t="shared" si="4"/>
        <v>СЦ СимферопольQR-поставка</v>
      </c>
      <c r="Y324" s="10"/>
      <c r="Z324" s="10"/>
      <c r="AA324" s="10"/>
      <c r="AB324" s="10"/>
    </row>
    <row r="325" spans="2:28" x14ac:dyDescent="0.45">
      <c r="B325" s="12" t="s">
        <v>85</v>
      </c>
      <c r="C325" s="12" t="s">
        <v>109</v>
      </c>
      <c r="D325" s="35">
        <v>5</v>
      </c>
      <c r="E325" s="35">
        <v>20</v>
      </c>
      <c r="F325" s="35">
        <v>20</v>
      </c>
      <c r="G325" s="35">
        <v>20</v>
      </c>
      <c r="H325" s="35">
        <v>20</v>
      </c>
      <c r="I325" s="35">
        <v>20</v>
      </c>
      <c r="J325" s="35">
        <v>20</v>
      </c>
      <c r="K325" s="35">
        <v>20</v>
      </c>
      <c r="L325" s="35">
        <v>20</v>
      </c>
      <c r="M325" s="35">
        <v>20</v>
      </c>
      <c r="N325" s="35">
        <v>20</v>
      </c>
      <c r="O325" s="35">
        <v>20</v>
      </c>
      <c r="P325" s="35">
        <v>20</v>
      </c>
      <c r="Q325" s="35">
        <v>20</v>
      </c>
      <c r="S325" s="5" t="str">
        <f>IF(_xlfn.XLOOKUP(StatTbl[[#This Row],[Join]],TargetSlots[Join],TargetSlots[Join],"Не найдено")&lt;&gt;"Не найдено","Ищем","Не ищем")</f>
        <v>Не ищем</v>
      </c>
      <c r="T325" s="4" t="str">
        <f ca="1">IF(COUNTIFS(OFFSET(D325:$Q325,0,SearchDay-1,,15-SearchDay),"&lt;="&amp; ValidC,OFFSET(D325:$Q325,0,SearchDay-1,,15-SearchDay),"&gt;-1")&gt;0,"Есть слот!","Ничего")</f>
        <v>Ничего</v>
      </c>
      <c r="U325">
        <f ca="1">IF(S325="Ищем",IF(StatTbl[[#This Row],[Доступность]]="Есть слот!",COUNTIFS(OFFSET(D325:$Q325,0,SearchDay-1),"&lt;="&amp; ValidC,OFFSET(D325:$Q325,0,SearchDay-1),"&gt;-1"),0),0)</f>
        <v>0</v>
      </c>
      <c r="V325" t="str" cm="1">
        <f t="array" aca="1" ref="V325" ca="1">IF(StatTbl[[#This Row],[Кол-во слотов]]&gt;0, B325&amp;" "&amp;C325&amp;" "&amp;_xlfn.TEXTJOIN(", ",FALSE,TEXT(_xlfn._xlws.FILTER(OFFSET($D$8:$Q$8,0,SearchDay-1,,15-SearchDay),(OFFSET(D325:Q325,0,SearchDay-1,,15-SearchDay)&gt;-1)*(OFFSET(D325:Q325,0,SearchDay-1,,15-SearchDay)&lt;=ValidC)),"ДД/ММ")),"")</f>
        <v/>
      </c>
      <c r="W325" t="str">
        <f t="shared" si="4"/>
        <v>СЦ Смоленск 3Короба</v>
      </c>
      <c r="Y325" s="10"/>
      <c r="Z325" s="10"/>
      <c r="AA325" s="10"/>
      <c r="AB325" s="10"/>
    </row>
    <row r="326" spans="2:28" x14ac:dyDescent="0.45">
      <c r="B326" s="12" t="s">
        <v>85</v>
      </c>
      <c r="C326" s="12" t="s">
        <v>110</v>
      </c>
      <c r="D326" s="35">
        <v>-1</v>
      </c>
      <c r="E326" s="35">
        <v>-1</v>
      </c>
      <c r="F326" s="35">
        <v>-1</v>
      </c>
      <c r="G326" s="35">
        <v>-1</v>
      </c>
      <c r="H326" s="35">
        <v>-1</v>
      </c>
      <c r="I326" s="35">
        <v>-1</v>
      </c>
      <c r="J326" s="35">
        <v>-1</v>
      </c>
      <c r="K326" s="35">
        <v>-1</v>
      </c>
      <c r="L326" s="35">
        <v>-1</v>
      </c>
      <c r="M326" s="35">
        <v>-1</v>
      </c>
      <c r="N326" s="35">
        <v>-1</v>
      </c>
      <c r="O326" s="35">
        <v>-1</v>
      </c>
      <c r="P326" s="35">
        <v>-1</v>
      </c>
      <c r="Q326" s="35">
        <v>-1</v>
      </c>
      <c r="S326" s="5" t="str">
        <f>IF(_xlfn.XLOOKUP(StatTbl[[#This Row],[Join]],TargetSlots[Join],TargetSlots[Join],"Не найдено")&lt;&gt;"Не найдено","Ищем","Не ищем")</f>
        <v>Не ищем</v>
      </c>
      <c r="T326" s="4" t="str">
        <f ca="1">IF(COUNTIFS(OFFSET(D326:$Q326,0,SearchDay-1,,15-SearchDay),"&lt;="&amp; ValidC,OFFSET(D326:$Q326,0,SearchDay-1,,15-SearchDay),"&gt;-1")&gt;0,"Есть слот!","Ничего")</f>
        <v>Ничего</v>
      </c>
      <c r="U326">
        <f ca="1">IF(S326="Ищем",IF(StatTbl[[#This Row],[Доступность]]="Есть слот!",COUNTIFS(OFFSET(D326:$Q326,0,SearchDay-1),"&lt;="&amp; ValidC,OFFSET(D326:$Q326,0,SearchDay-1),"&gt;-1"),0),0)</f>
        <v>0</v>
      </c>
      <c r="V326" t="str" cm="1">
        <f t="array" aca="1" ref="V326" ca="1">IF(StatTbl[[#This Row],[Кол-во слотов]]&gt;0, B326&amp;" "&amp;C326&amp;" "&amp;_xlfn.TEXTJOIN(", ",FALSE,TEXT(_xlfn._xlws.FILTER(OFFSET($D$8:$Q$8,0,SearchDay-1,,15-SearchDay),(OFFSET(D326:Q326,0,SearchDay-1,,15-SearchDay)&gt;-1)*(OFFSET(D326:Q326,0,SearchDay-1,,15-SearchDay)&lt;=ValidC)),"ДД/ММ")),"")</f>
        <v/>
      </c>
      <c r="W326" t="str">
        <f t="shared" si="4"/>
        <v>СЦ Смоленск 3Монопаллеты</v>
      </c>
      <c r="Y326" s="10"/>
      <c r="Z326" s="10"/>
      <c r="AA326" s="10"/>
      <c r="AB326" s="10"/>
    </row>
    <row r="327" spans="2:28" x14ac:dyDescent="0.45">
      <c r="B327" s="12" t="s">
        <v>85</v>
      </c>
      <c r="C327" s="12" t="s">
        <v>6</v>
      </c>
      <c r="D327" s="35">
        <v>-1</v>
      </c>
      <c r="E327" s="35">
        <v>-1</v>
      </c>
      <c r="F327" s="35">
        <v>-1</v>
      </c>
      <c r="G327" s="35">
        <v>-1</v>
      </c>
      <c r="H327" s="35">
        <v>-1</v>
      </c>
      <c r="I327" s="35">
        <v>-1</v>
      </c>
      <c r="J327" s="35">
        <v>-1</v>
      </c>
      <c r="K327" s="35">
        <v>-1</v>
      </c>
      <c r="L327" s="35">
        <v>-1</v>
      </c>
      <c r="M327" s="35">
        <v>-1</v>
      </c>
      <c r="N327" s="35">
        <v>-1</v>
      </c>
      <c r="O327" s="35">
        <v>-1</v>
      </c>
      <c r="P327" s="35">
        <v>-1</v>
      </c>
      <c r="Q327" s="35">
        <v>-1</v>
      </c>
      <c r="S327" s="5" t="str">
        <f>IF(_xlfn.XLOOKUP(StatTbl[[#This Row],[Join]],TargetSlots[Join],TargetSlots[Join],"Не найдено")&lt;&gt;"Не найдено","Ищем","Не ищем")</f>
        <v>Не ищем</v>
      </c>
      <c r="T327" s="4" t="str">
        <f ca="1">IF(COUNTIFS(OFFSET(D327:$Q327,0,SearchDay-1,,15-SearchDay),"&lt;="&amp; ValidC,OFFSET(D327:$Q327,0,SearchDay-1,,15-SearchDay),"&gt;-1")&gt;0,"Есть слот!","Ничего")</f>
        <v>Ничего</v>
      </c>
      <c r="U327">
        <f ca="1">IF(S327="Ищем",IF(StatTbl[[#This Row],[Доступность]]="Есть слот!",COUNTIFS(OFFSET(D327:$Q327,0,SearchDay-1),"&lt;="&amp; ValidC,OFFSET(D327:$Q327,0,SearchDay-1),"&gt;-1"),0),0)</f>
        <v>0</v>
      </c>
      <c r="V327" t="str" cm="1">
        <f t="array" aca="1" ref="V327" ca="1">IF(StatTbl[[#This Row],[Кол-во слотов]]&gt;0, B327&amp;" "&amp;C327&amp;" "&amp;_xlfn.TEXTJOIN(", ",FALSE,TEXT(_xlfn._xlws.FILTER(OFFSET($D$8:$Q$8,0,SearchDay-1,,15-SearchDay),(OFFSET(D327:Q327,0,SearchDay-1,,15-SearchDay)&gt;-1)*(OFFSET(D327:Q327,0,SearchDay-1,,15-SearchDay)&lt;=ValidC)),"ДД/ММ")),"")</f>
        <v/>
      </c>
      <c r="W327" t="str">
        <f t="shared" si="4"/>
        <v>СЦ Смоленск 3Суперсейф</v>
      </c>
      <c r="Y327" s="10"/>
      <c r="Z327" s="10"/>
      <c r="AA327" s="10"/>
      <c r="AB327" s="10"/>
    </row>
    <row r="328" spans="2:28" x14ac:dyDescent="0.45">
      <c r="B328" s="12" t="s">
        <v>85</v>
      </c>
      <c r="C328" s="12" t="s">
        <v>111</v>
      </c>
      <c r="D328" s="35">
        <v>20</v>
      </c>
      <c r="E328" s="35">
        <v>20</v>
      </c>
      <c r="F328" s="35">
        <v>20</v>
      </c>
      <c r="G328" s="35">
        <v>20</v>
      </c>
      <c r="H328" s="35">
        <v>20</v>
      </c>
      <c r="I328" s="35">
        <v>20</v>
      </c>
      <c r="J328" s="35">
        <v>20</v>
      </c>
      <c r="K328" s="35">
        <v>20</v>
      </c>
      <c r="L328" s="35">
        <v>20</v>
      </c>
      <c r="M328" s="35">
        <v>20</v>
      </c>
      <c r="N328" s="35">
        <v>20</v>
      </c>
      <c r="O328" s="35">
        <v>-1</v>
      </c>
      <c r="P328" s="35">
        <v>-1</v>
      </c>
      <c r="Q328" s="35">
        <v>-1</v>
      </c>
      <c r="S328" s="5" t="str">
        <f>IF(_xlfn.XLOOKUP(StatTbl[[#This Row],[Join]],TargetSlots[Join],TargetSlots[Join],"Не найдено")&lt;&gt;"Не найдено","Ищем","Не ищем")</f>
        <v>Не ищем</v>
      </c>
      <c r="T328" s="4" t="str">
        <f ca="1">IF(COUNTIFS(OFFSET(D328:$Q328,0,SearchDay-1,,15-SearchDay),"&lt;="&amp; ValidC,OFFSET(D328:$Q328,0,SearchDay-1,,15-SearchDay),"&gt;-1")&gt;0,"Есть слот!","Ничего")</f>
        <v>Ничего</v>
      </c>
      <c r="U328">
        <f ca="1">IF(S328="Ищем",IF(StatTbl[[#This Row],[Доступность]]="Есть слот!",COUNTIFS(OFFSET(D328:$Q328,0,SearchDay-1),"&lt;="&amp; ValidC,OFFSET(D328:$Q328,0,SearchDay-1),"&gt;-1"),0),0)</f>
        <v>0</v>
      </c>
      <c r="V328" t="str" cm="1">
        <f t="array" aca="1" ref="V328" ca="1">IF(StatTbl[[#This Row],[Кол-во слотов]]&gt;0, B328&amp;" "&amp;C328&amp;" "&amp;_xlfn.TEXTJOIN(", ",FALSE,TEXT(_xlfn._xlws.FILTER(OFFSET($D$8:$Q$8,0,SearchDay-1,,15-SearchDay),(OFFSET(D328:Q328,0,SearchDay-1,,15-SearchDay)&gt;-1)*(OFFSET(D328:Q328,0,SearchDay-1,,15-SearchDay)&lt;=ValidC)),"ДД/ММ")),"")</f>
        <v/>
      </c>
      <c r="W328" t="str">
        <f t="shared" si="4"/>
        <v>СЦ Смоленск 3QR-поставка</v>
      </c>
      <c r="Y328" s="10"/>
      <c r="Z328" s="10"/>
      <c r="AA328" s="10"/>
      <c r="AB328" s="10"/>
    </row>
    <row r="329" spans="2:28" x14ac:dyDescent="0.45">
      <c r="B329" s="12" t="s">
        <v>86</v>
      </c>
      <c r="C329" s="12" t="s">
        <v>109</v>
      </c>
      <c r="D329" s="35">
        <v>10</v>
      </c>
      <c r="E329" s="35">
        <v>10</v>
      </c>
      <c r="F329" s="35">
        <v>10</v>
      </c>
      <c r="G329" s="35">
        <v>10</v>
      </c>
      <c r="H329" s="35">
        <v>10</v>
      </c>
      <c r="I329" s="35">
        <v>10</v>
      </c>
      <c r="J329" s="35">
        <v>20</v>
      </c>
      <c r="K329" s="35">
        <v>10</v>
      </c>
      <c r="L329" s="35">
        <v>10</v>
      </c>
      <c r="M329" s="35">
        <v>10</v>
      </c>
      <c r="N329" s="35">
        <v>10</v>
      </c>
      <c r="O329" s="35">
        <v>10</v>
      </c>
      <c r="P329" s="35">
        <v>10</v>
      </c>
      <c r="Q329" s="35">
        <v>-1</v>
      </c>
      <c r="S329" s="5" t="str">
        <f>IF(_xlfn.XLOOKUP(StatTbl[[#This Row],[Join]],TargetSlots[Join],TargetSlots[Join],"Не найдено")&lt;&gt;"Не найдено","Ищем","Не ищем")</f>
        <v>Не ищем</v>
      </c>
      <c r="T329" s="4" t="str">
        <f ca="1">IF(COUNTIFS(OFFSET(D329:$Q329,0,SearchDay-1,,15-SearchDay),"&lt;="&amp; ValidC,OFFSET(D329:$Q329,0,SearchDay-1,,15-SearchDay),"&gt;-1")&gt;0,"Есть слот!","Ничего")</f>
        <v>Ничего</v>
      </c>
      <c r="U329">
        <f ca="1">IF(S329="Ищем",IF(StatTbl[[#This Row],[Доступность]]="Есть слот!",COUNTIFS(OFFSET(D329:$Q329,0,SearchDay-1),"&lt;="&amp; ValidC,OFFSET(D329:$Q329,0,SearchDay-1),"&gt;-1"),0),0)</f>
        <v>0</v>
      </c>
      <c r="V329" t="str" cm="1">
        <f t="array" aca="1" ref="V329" ca="1">IF(StatTbl[[#This Row],[Кол-во слотов]]&gt;0, B329&amp;" "&amp;C329&amp;" "&amp;_xlfn.TEXTJOIN(", ",FALSE,TEXT(_xlfn._xlws.FILTER(OFFSET($D$8:$Q$8,0,SearchDay-1,,15-SearchDay),(OFFSET(D329:Q329,0,SearchDay-1,,15-SearchDay)&gt;-1)*(OFFSET(D329:Q329,0,SearchDay-1,,15-SearchDay)&lt;=ValidC)),"ДД/ММ")),"")</f>
        <v/>
      </c>
      <c r="W329" t="str">
        <f t="shared" ref="W329:W392" si="5">B329&amp;C329</f>
        <v>СЦ СургутКороба</v>
      </c>
      <c r="Y329" s="10"/>
      <c r="Z329" s="10"/>
      <c r="AA329" s="10"/>
      <c r="AB329" s="10"/>
    </row>
    <row r="330" spans="2:28" x14ac:dyDescent="0.45">
      <c r="B330" s="12" t="s">
        <v>86</v>
      </c>
      <c r="C330" s="12" t="s">
        <v>110</v>
      </c>
      <c r="D330" s="35">
        <v>-1</v>
      </c>
      <c r="E330" s="35">
        <v>-1</v>
      </c>
      <c r="F330" s="35">
        <v>-1</v>
      </c>
      <c r="G330" s="35">
        <v>-1</v>
      </c>
      <c r="H330" s="35">
        <v>-1</v>
      </c>
      <c r="I330" s="35">
        <v>-1</v>
      </c>
      <c r="J330" s="35">
        <v>-1</v>
      </c>
      <c r="K330" s="35">
        <v>-1</v>
      </c>
      <c r="L330" s="35">
        <v>-1</v>
      </c>
      <c r="M330" s="35">
        <v>-1</v>
      </c>
      <c r="N330" s="35">
        <v>-1</v>
      </c>
      <c r="O330" s="35">
        <v>-1</v>
      </c>
      <c r="P330" s="35">
        <v>-1</v>
      </c>
      <c r="Q330" s="35">
        <v>-1</v>
      </c>
      <c r="S330" s="5" t="str">
        <f>IF(_xlfn.XLOOKUP(StatTbl[[#This Row],[Join]],TargetSlots[Join],TargetSlots[Join],"Не найдено")&lt;&gt;"Не найдено","Ищем","Не ищем")</f>
        <v>Не ищем</v>
      </c>
      <c r="T330" s="4" t="str">
        <f ca="1">IF(COUNTIFS(OFFSET(D330:$Q330,0,SearchDay-1,,15-SearchDay),"&lt;="&amp; ValidC,OFFSET(D330:$Q330,0,SearchDay-1,,15-SearchDay),"&gt;-1")&gt;0,"Есть слот!","Ничего")</f>
        <v>Ничего</v>
      </c>
      <c r="U330">
        <f ca="1">IF(S330="Ищем",IF(StatTbl[[#This Row],[Доступность]]="Есть слот!",COUNTIFS(OFFSET(D330:$Q330,0,SearchDay-1),"&lt;="&amp; ValidC,OFFSET(D330:$Q330,0,SearchDay-1),"&gt;-1"),0),0)</f>
        <v>0</v>
      </c>
      <c r="V330" t="str" cm="1">
        <f t="array" aca="1" ref="V330" ca="1">IF(StatTbl[[#This Row],[Кол-во слотов]]&gt;0, B330&amp;" "&amp;C330&amp;" "&amp;_xlfn.TEXTJOIN(", ",FALSE,TEXT(_xlfn._xlws.FILTER(OFFSET($D$8:$Q$8,0,SearchDay-1,,15-SearchDay),(OFFSET(D330:Q330,0,SearchDay-1,,15-SearchDay)&gt;-1)*(OFFSET(D330:Q330,0,SearchDay-1,,15-SearchDay)&lt;=ValidC)),"ДД/ММ")),"")</f>
        <v/>
      </c>
      <c r="W330" t="str">
        <f t="shared" si="5"/>
        <v>СЦ СургутМонопаллеты</v>
      </c>
      <c r="Y330" s="10"/>
      <c r="Z330" s="10"/>
      <c r="AA330" s="10"/>
      <c r="AB330" s="10"/>
    </row>
    <row r="331" spans="2:28" x14ac:dyDescent="0.45">
      <c r="B331" s="12" t="s">
        <v>86</v>
      </c>
      <c r="C331" s="12" t="s">
        <v>6</v>
      </c>
      <c r="D331" s="35">
        <v>-1</v>
      </c>
      <c r="E331" s="35">
        <v>-1</v>
      </c>
      <c r="F331" s="35">
        <v>-1</v>
      </c>
      <c r="G331" s="35">
        <v>-1</v>
      </c>
      <c r="H331" s="35">
        <v>-1</v>
      </c>
      <c r="I331" s="35">
        <v>-1</v>
      </c>
      <c r="J331" s="35">
        <v>-1</v>
      </c>
      <c r="K331" s="35">
        <v>-1</v>
      </c>
      <c r="L331" s="35">
        <v>-1</v>
      </c>
      <c r="M331" s="35">
        <v>-1</v>
      </c>
      <c r="N331" s="35">
        <v>-1</v>
      </c>
      <c r="O331" s="35">
        <v>-1</v>
      </c>
      <c r="P331" s="35">
        <v>-1</v>
      </c>
      <c r="Q331" s="35">
        <v>-1</v>
      </c>
      <c r="S331" s="5" t="str">
        <f>IF(_xlfn.XLOOKUP(StatTbl[[#This Row],[Join]],TargetSlots[Join],TargetSlots[Join],"Не найдено")&lt;&gt;"Не найдено","Ищем","Не ищем")</f>
        <v>Не ищем</v>
      </c>
      <c r="T331" s="4" t="str">
        <f ca="1">IF(COUNTIFS(OFFSET(D331:$Q331,0,SearchDay-1,,15-SearchDay),"&lt;="&amp; ValidC,OFFSET(D331:$Q331,0,SearchDay-1,,15-SearchDay),"&gt;-1")&gt;0,"Есть слот!","Ничего")</f>
        <v>Ничего</v>
      </c>
      <c r="U331">
        <f ca="1">IF(S331="Ищем",IF(StatTbl[[#This Row],[Доступность]]="Есть слот!",COUNTIFS(OFFSET(D331:$Q331,0,SearchDay-1),"&lt;="&amp; ValidC,OFFSET(D331:$Q331,0,SearchDay-1),"&gt;-1"),0),0)</f>
        <v>0</v>
      </c>
      <c r="V331" t="str" cm="1">
        <f t="array" aca="1" ref="V331" ca="1">IF(StatTbl[[#This Row],[Кол-во слотов]]&gt;0, B331&amp;" "&amp;C331&amp;" "&amp;_xlfn.TEXTJOIN(", ",FALSE,TEXT(_xlfn._xlws.FILTER(OFFSET($D$8:$Q$8,0,SearchDay-1,,15-SearchDay),(OFFSET(D331:Q331,0,SearchDay-1,,15-SearchDay)&gt;-1)*(OFFSET(D331:Q331,0,SearchDay-1,,15-SearchDay)&lt;=ValidC)),"ДД/ММ")),"")</f>
        <v/>
      </c>
      <c r="W331" t="str">
        <f t="shared" si="5"/>
        <v>СЦ СургутСуперсейф</v>
      </c>
      <c r="Y331" s="10"/>
      <c r="Z331" s="10"/>
      <c r="AA331" s="10"/>
      <c r="AB331" s="10"/>
    </row>
    <row r="332" spans="2:28" x14ac:dyDescent="0.45">
      <c r="B332" s="12" t="s">
        <v>86</v>
      </c>
      <c r="C332" s="12" t="s">
        <v>111</v>
      </c>
      <c r="D332" s="35">
        <v>10</v>
      </c>
      <c r="E332" s="35">
        <v>10</v>
      </c>
      <c r="F332" s="35">
        <v>10</v>
      </c>
      <c r="G332" s="35">
        <v>10</v>
      </c>
      <c r="H332" s="35">
        <v>10</v>
      </c>
      <c r="I332" s="35">
        <v>10</v>
      </c>
      <c r="J332" s="35">
        <v>10</v>
      </c>
      <c r="K332" s="35">
        <v>10</v>
      </c>
      <c r="L332" s="35">
        <v>10</v>
      </c>
      <c r="M332" s="35">
        <v>10</v>
      </c>
      <c r="N332" s="35">
        <v>10</v>
      </c>
      <c r="O332" s="35">
        <v>-1</v>
      </c>
      <c r="P332" s="35">
        <v>-1</v>
      </c>
      <c r="Q332" s="35">
        <v>-1</v>
      </c>
      <c r="S332" s="5" t="str">
        <f>IF(_xlfn.XLOOKUP(StatTbl[[#This Row],[Join]],TargetSlots[Join],TargetSlots[Join],"Не найдено")&lt;&gt;"Не найдено","Ищем","Не ищем")</f>
        <v>Не ищем</v>
      </c>
      <c r="T332" s="4" t="str">
        <f ca="1">IF(COUNTIFS(OFFSET(D332:$Q332,0,SearchDay-1,,15-SearchDay),"&lt;="&amp; ValidC,OFFSET(D332:$Q332,0,SearchDay-1,,15-SearchDay),"&gt;-1")&gt;0,"Есть слот!","Ничего")</f>
        <v>Ничего</v>
      </c>
      <c r="U332">
        <f ca="1">IF(S332="Ищем",IF(StatTbl[[#This Row],[Доступность]]="Есть слот!",COUNTIFS(OFFSET(D332:$Q332,0,SearchDay-1),"&lt;="&amp; ValidC,OFFSET(D332:$Q332,0,SearchDay-1),"&gt;-1"),0),0)</f>
        <v>0</v>
      </c>
      <c r="V332" t="str" cm="1">
        <f t="array" aca="1" ref="V332" ca="1">IF(StatTbl[[#This Row],[Кол-во слотов]]&gt;0, B332&amp;" "&amp;C332&amp;" "&amp;_xlfn.TEXTJOIN(", ",FALSE,TEXT(_xlfn._xlws.FILTER(OFFSET($D$8:$Q$8,0,SearchDay-1,,15-SearchDay),(OFFSET(D332:Q332,0,SearchDay-1,,15-SearchDay)&gt;-1)*(OFFSET(D332:Q332,0,SearchDay-1,,15-SearchDay)&lt;=ValidC)),"ДД/ММ")),"")</f>
        <v/>
      </c>
      <c r="W332" t="str">
        <f t="shared" si="5"/>
        <v>СЦ СургутQR-поставка</v>
      </c>
      <c r="Y332" s="10"/>
      <c r="Z332" s="10"/>
      <c r="AA332" s="10"/>
      <c r="AB332" s="10"/>
    </row>
    <row r="333" spans="2:28" x14ac:dyDescent="0.45">
      <c r="B333" s="12" t="s">
        <v>87</v>
      </c>
      <c r="C333" s="12" t="s">
        <v>109</v>
      </c>
      <c r="D333" s="35">
        <v>-1</v>
      </c>
      <c r="E333" s="35">
        <v>-1</v>
      </c>
      <c r="F333" s="35">
        <v>-1</v>
      </c>
      <c r="G333" s="35">
        <v>-1</v>
      </c>
      <c r="H333" s="35">
        <v>-1</v>
      </c>
      <c r="I333" s="35">
        <v>-1</v>
      </c>
      <c r="J333" s="35">
        <v>-1</v>
      </c>
      <c r="K333" s="35">
        <v>-1</v>
      </c>
      <c r="L333" s="35">
        <v>-1</v>
      </c>
      <c r="M333" s="35">
        <v>-1</v>
      </c>
      <c r="N333" s="35">
        <v>-1</v>
      </c>
      <c r="O333" s="35">
        <v>-1</v>
      </c>
      <c r="P333" s="35">
        <v>-1</v>
      </c>
      <c r="Q333" s="35">
        <v>-1</v>
      </c>
      <c r="S333" s="5" t="str">
        <f>IF(_xlfn.XLOOKUP(StatTbl[[#This Row],[Join]],TargetSlots[Join],TargetSlots[Join],"Не найдено")&lt;&gt;"Не найдено","Ищем","Не ищем")</f>
        <v>Не ищем</v>
      </c>
      <c r="T333" s="4" t="str">
        <f ca="1">IF(COUNTIFS(OFFSET(D333:$Q333,0,SearchDay-1,,15-SearchDay),"&lt;="&amp; ValidC,OFFSET(D333:$Q333,0,SearchDay-1,,15-SearchDay),"&gt;-1")&gt;0,"Есть слот!","Ничего")</f>
        <v>Ничего</v>
      </c>
      <c r="U333">
        <f ca="1">IF(S333="Ищем",IF(StatTbl[[#This Row],[Доступность]]="Есть слот!",COUNTIFS(OFFSET(D333:$Q333,0,SearchDay-1),"&lt;="&amp; ValidC,OFFSET(D333:$Q333,0,SearchDay-1),"&gt;-1"),0),0)</f>
        <v>0</v>
      </c>
      <c r="V333" t="str" cm="1">
        <f t="array" aca="1" ref="V333" ca="1">IF(StatTbl[[#This Row],[Кол-во слотов]]&gt;0, B333&amp;" "&amp;C333&amp;" "&amp;_xlfn.TEXTJOIN(", ",FALSE,TEXT(_xlfn._xlws.FILTER(OFFSET($D$8:$Q$8,0,SearchDay-1,,15-SearchDay),(OFFSET(D333:Q333,0,SearchDay-1,,15-SearchDay)&gt;-1)*(OFFSET(D333:Q333,0,SearchDay-1,,15-SearchDay)&lt;=ValidC)),"ДД/ММ")),"")</f>
        <v/>
      </c>
      <c r="W333" t="str">
        <f t="shared" si="5"/>
        <v>СЦ СыктывкарКороба</v>
      </c>
      <c r="Y333" s="10"/>
      <c r="Z333" s="10"/>
      <c r="AA333" s="10"/>
      <c r="AB333" s="10"/>
    </row>
    <row r="334" spans="2:28" x14ac:dyDescent="0.45">
      <c r="B334" s="12" t="s">
        <v>87</v>
      </c>
      <c r="C334" s="12" t="s">
        <v>110</v>
      </c>
      <c r="D334" s="35">
        <v>-1</v>
      </c>
      <c r="E334" s="35">
        <v>-1</v>
      </c>
      <c r="F334" s="35">
        <v>-1</v>
      </c>
      <c r="G334" s="35">
        <v>-1</v>
      </c>
      <c r="H334" s="35">
        <v>-1</v>
      </c>
      <c r="I334" s="35">
        <v>-1</v>
      </c>
      <c r="J334" s="35">
        <v>-1</v>
      </c>
      <c r="K334" s="35">
        <v>-1</v>
      </c>
      <c r="L334" s="35">
        <v>-1</v>
      </c>
      <c r="M334" s="35">
        <v>-1</v>
      </c>
      <c r="N334" s="35">
        <v>-1</v>
      </c>
      <c r="O334" s="35">
        <v>-1</v>
      </c>
      <c r="P334" s="35">
        <v>-1</v>
      </c>
      <c r="Q334" s="35">
        <v>-1</v>
      </c>
      <c r="S334" s="5" t="str">
        <f>IF(_xlfn.XLOOKUP(StatTbl[[#This Row],[Join]],TargetSlots[Join],TargetSlots[Join],"Не найдено")&lt;&gt;"Не найдено","Ищем","Не ищем")</f>
        <v>Не ищем</v>
      </c>
      <c r="T334" s="4" t="str">
        <f ca="1">IF(COUNTIFS(OFFSET(D334:$Q334,0,SearchDay-1,,15-SearchDay),"&lt;="&amp; ValidC,OFFSET(D334:$Q334,0,SearchDay-1,,15-SearchDay),"&gt;-1")&gt;0,"Есть слот!","Ничего")</f>
        <v>Ничего</v>
      </c>
      <c r="U334">
        <f ca="1">IF(S334="Ищем",IF(StatTbl[[#This Row],[Доступность]]="Есть слот!",COUNTIFS(OFFSET(D334:$Q334,0,SearchDay-1),"&lt;="&amp; ValidC,OFFSET(D334:$Q334,0,SearchDay-1),"&gt;-1"),0),0)</f>
        <v>0</v>
      </c>
      <c r="V334" t="str" cm="1">
        <f t="array" aca="1" ref="V334" ca="1">IF(StatTbl[[#This Row],[Кол-во слотов]]&gt;0, B334&amp;" "&amp;C334&amp;" "&amp;_xlfn.TEXTJOIN(", ",FALSE,TEXT(_xlfn._xlws.FILTER(OFFSET($D$8:$Q$8,0,SearchDay-1,,15-SearchDay),(OFFSET(D334:Q334,0,SearchDay-1,,15-SearchDay)&gt;-1)*(OFFSET(D334:Q334,0,SearchDay-1,,15-SearchDay)&lt;=ValidC)),"ДД/ММ")),"")</f>
        <v/>
      </c>
      <c r="W334" t="str">
        <f t="shared" si="5"/>
        <v>СЦ СыктывкарМонопаллеты</v>
      </c>
      <c r="Y334" s="10"/>
      <c r="Z334" s="10"/>
      <c r="AA334" s="10"/>
      <c r="AB334" s="10"/>
    </row>
    <row r="335" spans="2:28" x14ac:dyDescent="0.45">
      <c r="B335" s="12" t="s">
        <v>87</v>
      </c>
      <c r="C335" s="12" t="s">
        <v>6</v>
      </c>
      <c r="D335" s="35">
        <v>-1</v>
      </c>
      <c r="E335" s="35">
        <v>-1</v>
      </c>
      <c r="F335" s="35">
        <v>-1</v>
      </c>
      <c r="G335" s="35">
        <v>-1</v>
      </c>
      <c r="H335" s="35">
        <v>-1</v>
      </c>
      <c r="I335" s="35">
        <v>-1</v>
      </c>
      <c r="J335" s="35">
        <v>-1</v>
      </c>
      <c r="K335" s="35">
        <v>-1</v>
      </c>
      <c r="L335" s="35">
        <v>-1</v>
      </c>
      <c r="M335" s="35">
        <v>-1</v>
      </c>
      <c r="N335" s="35">
        <v>-1</v>
      </c>
      <c r="O335" s="35">
        <v>-1</v>
      </c>
      <c r="P335" s="35">
        <v>-1</v>
      </c>
      <c r="Q335" s="35">
        <v>-1</v>
      </c>
      <c r="S335" s="5" t="str">
        <f>IF(_xlfn.XLOOKUP(StatTbl[[#This Row],[Join]],TargetSlots[Join],TargetSlots[Join],"Не найдено")&lt;&gt;"Не найдено","Ищем","Не ищем")</f>
        <v>Не ищем</v>
      </c>
      <c r="T335" s="4" t="str">
        <f ca="1">IF(COUNTIFS(OFFSET(D335:$Q335,0,SearchDay-1,,15-SearchDay),"&lt;="&amp; ValidC,OFFSET(D335:$Q335,0,SearchDay-1,,15-SearchDay),"&gt;-1")&gt;0,"Есть слот!","Ничего")</f>
        <v>Ничего</v>
      </c>
      <c r="U335">
        <f ca="1">IF(S335="Ищем",IF(StatTbl[[#This Row],[Доступность]]="Есть слот!",COUNTIFS(OFFSET(D335:$Q335,0,SearchDay-1),"&lt;="&amp; ValidC,OFFSET(D335:$Q335,0,SearchDay-1),"&gt;-1"),0),0)</f>
        <v>0</v>
      </c>
      <c r="V335" t="str" cm="1">
        <f t="array" aca="1" ref="V335" ca="1">IF(StatTbl[[#This Row],[Кол-во слотов]]&gt;0, B335&amp;" "&amp;C335&amp;" "&amp;_xlfn.TEXTJOIN(", ",FALSE,TEXT(_xlfn._xlws.FILTER(OFFSET($D$8:$Q$8,0,SearchDay-1,,15-SearchDay),(OFFSET(D335:Q335,0,SearchDay-1,,15-SearchDay)&gt;-1)*(OFFSET(D335:Q335,0,SearchDay-1,,15-SearchDay)&lt;=ValidC)),"ДД/ММ")),"")</f>
        <v/>
      </c>
      <c r="W335" t="str">
        <f t="shared" si="5"/>
        <v>СЦ СыктывкарСуперсейф</v>
      </c>
      <c r="Y335" s="10"/>
      <c r="Z335" s="10"/>
      <c r="AA335" s="10"/>
      <c r="AB335" s="10"/>
    </row>
    <row r="336" spans="2:28" x14ac:dyDescent="0.45">
      <c r="B336" s="12" t="s">
        <v>87</v>
      </c>
      <c r="C336" s="12" t="s">
        <v>111</v>
      </c>
      <c r="D336" s="35">
        <v>-1</v>
      </c>
      <c r="E336" s="35">
        <v>-1</v>
      </c>
      <c r="F336" s="35">
        <v>-1</v>
      </c>
      <c r="G336" s="35">
        <v>-1</v>
      </c>
      <c r="H336" s="35">
        <v>-1</v>
      </c>
      <c r="I336" s="35">
        <v>-1</v>
      </c>
      <c r="J336" s="35">
        <v>-1</v>
      </c>
      <c r="K336" s="35">
        <v>-1</v>
      </c>
      <c r="L336" s="35">
        <v>-1</v>
      </c>
      <c r="M336" s="35">
        <v>-1</v>
      </c>
      <c r="N336" s="35">
        <v>-1</v>
      </c>
      <c r="O336" s="35">
        <v>-1</v>
      </c>
      <c r="P336" s="35">
        <v>-1</v>
      </c>
      <c r="Q336" s="35">
        <v>-1</v>
      </c>
      <c r="S336" s="5" t="str">
        <f>IF(_xlfn.XLOOKUP(StatTbl[[#This Row],[Join]],TargetSlots[Join],TargetSlots[Join],"Не найдено")&lt;&gt;"Не найдено","Ищем","Не ищем")</f>
        <v>Не ищем</v>
      </c>
      <c r="T336" s="4" t="str">
        <f ca="1">IF(COUNTIFS(OFFSET(D336:$Q336,0,SearchDay-1,,15-SearchDay),"&lt;="&amp; ValidC,OFFSET(D336:$Q336,0,SearchDay-1,,15-SearchDay),"&gt;-1")&gt;0,"Есть слот!","Ничего")</f>
        <v>Ничего</v>
      </c>
      <c r="U336">
        <f ca="1">IF(S336="Ищем",IF(StatTbl[[#This Row],[Доступность]]="Есть слот!",COUNTIFS(OFFSET(D336:$Q336,0,SearchDay-1),"&lt;="&amp; ValidC,OFFSET(D336:$Q336,0,SearchDay-1),"&gt;-1"),0),0)</f>
        <v>0</v>
      </c>
      <c r="V336" t="str" cm="1">
        <f t="array" aca="1" ref="V336" ca="1">IF(StatTbl[[#This Row],[Кол-во слотов]]&gt;0, B336&amp;" "&amp;C336&amp;" "&amp;_xlfn.TEXTJOIN(", ",FALSE,TEXT(_xlfn._xlws.FILTER(OFFSET($D$8:$Q$8,0,SearchDay-1,,15-SearchDay),(OFFSET(D336:Q336,0,SearchDay-1,,15-SearchDay)&gt;-1)*(OFFSET(D336:Q336,0,SearchDay-1,,15-SearchDay)&lt;=ValidC)),"ДД/ММ")),"")</f>
        <v/>
      </c>
      <c r="W336" t="str">
        <f t="shared" si="5"/>
        <v>СЦ СыктывкарQR-поставка</v>
      </c>
      <c r="Y336" s="10"/>
      <c r="Z336" s="10"/>
      <c r="AA336" s="10"/>
      <c r="AB336" s="10"/>
    </row>
    <row r="337" spans="2:28" x14ac:dyDescent="0.45">
      <c r="B337" s="12" t="s">
        <v>88</v>
      </c>
      <c r="C337" s="12" t="s">
        <v>109</v>
      </c>
      <c r="D337" s="35">
        <v>20</v>
      </c>
      <c r="E337" s="35">
        <v>20</v>
      </c>
      <c r="F337" s="35">
        <v>20</v>
      </c>
      <c r="G337" s="35">
        <v>20</v>
      </c>
      <c r="H337" s="35">
        <v>20</v>
      </c>
      <c r="I337" s="35">
        <v>20</v>
      </c>
      <c r="J337" s="35">
        <v>20</v>
      </c>
      <c r="K337" s="35">
        <v>20</v>
      </c>
      <c r="L337" s="35">
        <v>20</v>
      </c>
      <c r="M337" s="35">
        <v>20</v>
      </c>
      <c r="N337" s="35">
        <v>20</v>
      </c>
      <c r="O337" s="35">
        <v>20</v>
      </c>
      <c r="P337" s="35">
        <v>20</v>
      </c>
      <c r="Q337" s="35">
        <v>20</v>
      </c>
      <c r="S337" s="5" t="str">
        <f>IF(_xlfn.XLOOKUP(StatTbl[[#This Row],[Join]],TargetSlots[Join],TargetSlots[Join],"Не найдено")&lt;&gt;"Не найдено","Ищем","Не ищем")</f>
        <v>Не ищем</v>
      </c>
      <c r="T337" s="4" t="str">
        <f ca="1">IF(COUNTIFS(OFFSET(D337:$Q337,0,SearchDay-1,,15-SearchDay),"&lt;="&amp; ValidC,OFFSET(D337:$Q337,0,SearchDay-1,,15-SearchDay),"&gt;-1")&gt;0,"Есть слот!","Ничего")</f>
        <v>Ничего</v>
      </c>
      <c r="U337">
        <f ca="1">IF(S337="Ищем",IF(StatTbl[[#This Row],[Доступность]]="Есть слот!",COUNTIFS(OFFSET(D337:$Q337,0,SearchDay-1),"&lt;="&amp; ValidC,OFFSET(D337:$Q337,0,SearchDay-1),"&gt;-1"),0),0)</f>
        <v>0</v>
      </c>
      <c r="V337" t="str" cm="1">
        <f t="array" aca="1" ref="V337" ca="1">IF(StatTbl[[#This Row],[Кол-во слотов]]&gt;0, B337&amp;" "&amp;C337&amp;" "&amp;_xlfn.TEXTJOIN(", ",FALSE,TEXT(_xlfn._xlws.FILTER(OFFSET($D$8:$Q$8,0,SearchDay-1,,15-SearchDay),(OFFSET(D337:Q337,0,SearchDay-1,,15-SearchDay)&gt;-1)*(OFFSET(D337:Q337,0,SearchDay-1,,15-SearchDay)&lt;=ValidC)),"ДД/ММ")),"")</f>
        <v/>
      </c>
      <c r="W337" t="str">
        <f t="shared" si="5"/>
        <v>СЦ ТамбовКороба</v>
      </c>
      <c r="Y337" s="10"/>
      <c r="Z337" s="10"/>
      <c r="AA337" s="10"/>
      <c r="AB337" s="10"/>
    </row>
    <row r="338" spans="2:28" x14ac:dyDescent="0.45">
      <c r="B338" s="12" t="s">
        <v>88</v>
      </c>
      <c r="C338" s="12" t="s">
        <v>110</v>
      </c>
      <c r="D338" s="35">
        <v>-1</v>
      </c>
      <c r="E338" s="35">
        <v>-1</v>
      </c>
      <c r="F338" s="35">
        <v>-1</v>
      </c>
      <c r="G338" s="35">
        <v>-1</v>
      </c>
      <c r="H338" s="35">
        <v>-1</v>
      </c>
      <c r="I338" s="35">
        <v>-1</v>
      </c>
      <c r="J338" s="35">
        <v>-1</v>
      </c>
      <c r="K338" s="35">
        <v>-1</v>
      </c>
      <c r="L338" s="35">
        <v>-1</v>
      </c>
      <c r="M338" s="35">
        <v>-1</v>
      </c>
      <c r="N338" s="35">
        <v>-1</v>
      </c>
      <c r="O338" s="35">
        <v>-1</v>
      </c>
      <c r="P338" s="35">
        <v>-1</v>
      </c>
      <c r="Q338" s="35">
        <v>-1</v>
      </c>
      <c r="S338" s="5" t="str">
        <f>IF(_xlfn.XLOOKUP(StatTbl[[#This Row],[Join]],TargetSlots[Join],TargetSlots[Join],"Не найдено")&lt;&gt;"Не найдено","Ищем","Не ищем")</f>
        <v>Не ищем</v>
      </c>
      <c r="T338" s="4" t="str">
        <f ca="1">IF(COUNTIFS(OFFSET(D338:$Q338,0,SearchDay-1,,15-SearchDay),"&lt;="&amp; ValidC,OFFSET(D338:$Q338,0,SearchDay-1,,15-SearchDay),"&gt;-1")&gt;0,"Есть слот!","Ничего")</f>
        <v>Ничего</v>
      </c>
      <c r="U338">
        <f ca="1">IF(S338="Ищем",IF(StatTbl[[#This Row],[Доступность]]="Есть слот!",COUNTIFS(OFFSET(D338:$Q338,0,SearchDay-1),"&lt;="&amp; ValidC,OFFSET(D338:$Q338,0,SearchDay-1),"&gt;-1"),0),0)</f>
        <v>0</v>
      </c>
      <c r="V338" t="str" cm="1">
        <f t="array" aca="1" ref="V338" ca="1">IF(StatTbl[[#This Row],[Кол-во слотов]]&gt;0, B338&amp;" "&amp;C338&amp;" "&amp;_xlfn.TEXTJOIN(", ",FALSE,TEXT(_xlfn._xlws.FILTER(OFFSET($D$8:$Q$8,0,SearchDay-1,,15-SearchDay),(OFFSET(D338:Q338,0,SearchDay-1,,15-SearchDay)&gt;-1)*(OFFSET(D338:Q338,0,SearchDay-1,,15-SearchDay)&lt;=ValidC)),"ДД/ММ")),"")</f>
        <v/>
      </c>
      <c r="W338" t="str">
        <f t="shared" si="5"/>
        <v>СЦ ТамбовМонопаллеты</v>
      </c>
      <c r="Y338" s="10"/>
      <c r="Z338" s="10"/>
      <c r="AA338" s="10"/>
      <c r="AB338" s="10"/>
    </row>
    <row r="339" spans="2:28" x14ac:dyDescent="0.45">
      <c r="B339" s="12" t="s">
        <v>88</v>
      </c>
      <c r="C339" s="12" t="s">
        <v>6</v>
      </c>
      <c r="D339" s="35">
        <v>-1</v>
      </c>
      <c r="E339" s="35">
        <v>-1</v>
      </c>
      <c r="F339" s="35">
        <v>-1</v>
      </c>
      <c r="G339" s="35">
        <v>-1</v>
      </c>
      <c r="H339" s="35">
        <v>-1</v>
      </c>
      <c r="I339" s="35">
        <v>-1</v>
      </c>
      <c r="J339" s="35">
        <v>-1</v>
      </c>
      <c r="K339" s="35">
        <v>-1</v>
      </c>
      <c r="L339" s="35">
        <v>-1</v>
      </c>
      <c r="M339" s="35">
        <v>-1</v>
      </c>
      <c r="N339" s="35">
        <v>-1</v>
      </c>
      <c r="O339" s="35">
        <v>-1</v>
      </c>
      <c r="P339" s="35">
        <v>-1</v>
      </c>
      <c r="Q339" s="35">
        <v>-1</v>
      </c>
      <c r="S339" s="5" t="str">
        <f>IF(_xlfn.XLOOKUP(StatTbl[[#This Row],[Join]],TargetSlots[Join],TargetSlots[Join],"Не найдено")&lt;&gt;"Не найдено","Ищем","Не ищем")</f>
        <v>Не ищем</v>
      </c>
      <c r="T339" s="4" t="str">
        <f ca="1">IF(COUNTIFS(OFFSET(D339:$Q339,0,SearchDay-1,,15-SearchDay),"&lt;="&amp; ValidC,OFFSET(D339:$Q339,0,SearchDay-1,,15-SearchDay),"&gt;-1")&gt;0,"Есть слот!","Ничего")</f>
        <v>Ничего</v>
      </c>
      <c r="U339">
        <f ca="1">IF(S339="Ищем",IF(StatTbl[[#This Row],[Доступность]]="Есть слот!",COUNTIFS(OFFSET(D339:$Q339,0,SearchDay-1),"&lt;="&amp; ValidC,OFFSET(D339:$Q339,0,SearchDay-1),"&gt;-1"),0),0)</f>
        <v>0</v>
      </c>
      <c r="V339" t="str" cm="1">
        <f t="array" aca="1" ref="V339" ca="1">IF(StatTbl[[#This Row],[Кол-во слотов]]&gt;0, B339&amp;" "&amp;C339&amp;" "&amp;_xlfn.TEXTJOIN(", ",FALSE,TEXT(_xlfn._xlws.FILTER(OFFSET($D$8:$Q$8,0,SearchDay-1,,15-SearchDay),(OFFSET(D339:Q339,0,SearchDay-1,,15-SearchDay)&gt;-1)*(OFFSET(D339:Q339,0,SearchDay-1,,15-SearchDay)&lt;=ValidC)),"ДД/ММ")),"")</f>
        <v/>
      </c>
      <c r="W339" t="str">
        <f t="shared" si="5"/>
        <v>СЦ ТамбовСуперсейф</v>
      </c>
      <c r="Y339" s="10"/>
      <c r="Z339" s="10"/>
      <c r="AA339" s="10"/>
      <c r="AB339" s="10"/>
    </row>
    <row r="340" spans="2:28" x14ac:dyDescent="0.45">
      <c r="B340" s="12" t="s">
        <v>88</v>
      </c>
      <c r="C340" s="12" t="s">
        <v>111</v>
      </c>
      <c r="D340" s="35">
        <v>20</v>
      </c>
      <c r="E340" s="35">
        <v>20</v>
      </c>
      <c r="F340" s="35">
        <v>20</v>
      </c>
      <c r="G340" s="35">
        <v>20</v>
      </c>
      <c r="H340" s="35">
        <v>20</v>
      </c>
      <c r="I340" s="35">
        <v>20</v>
      </c>
      <c r="J340" s="35">
        <v>20</v>
      </c>
      <c r="K340" s="35">
        <v>20</v>
      </c>
      <c r="L340" s="35">
        <v>20</v>
      </c>
      <c r="M340" s="35">
        <v>20</v>
      </c>
      <c r="N340" s="35">
        <v>20</v>
      </c>
      <c r="O340" s="35">
        <v>-1</v>
      </c>
      <c r="P340" s="35">
        <v>-1</v>
      </c>
      <c r="Q340" s="35">
        <v>-1</v>
      </c>
      <c r="S340" s="5" t="str">
        <f>IF(_xlfn.XLOOKUP(StatTbl[[#This Row],[Join]],TargetSlots[Join],TargetSlots[Join],"Не найдено")&lt;&gt;"Не найдено","Ищем","Не ищем")</f>
        <v>Не ищем</v>
      </c>
      <c r="T340" s="4" t="str">
        <f ca="1">IF(COUNTIFS(OFFSET(D340:$Q340,0,SearchDay-1,,15-SearchDay),"&lt;="&amp; ValidC,OFFSET(D340:$Q340,0,SearchDay-1,,15-SearchDay),"&gt;-1")&gt;0,"Есть слот!","Ничего")</f>
        <v>Ничего</v>
      </c>
      <c r="U340">
        <f ca="1">IF(S340="Ищем",IF(StatTbl[[#This Row],[Доступность]]="Есть слот!",COUNTIFS(OFFSET(D340:$Q340,0,SearchDay-1),"&lt;="&amp; ValidC,OFFSET(D340:$Q340,0,SearchDay-1),"&gt;-1"),0),0)</f>
        <v>0</v>
      </c>
      <c r="V340" t="str" cm="1">
        <f t="array" aca="1" ref="V340" ca="1">IF(StatTbl[[#This Row],[Кол-во слотов]]&gt;0, B340&amp;" "&amp;C340&amp;" "&amp;_xlfn.TEXTJOIN(", ",FALSE,TEXT(_xlfn._xlws.FILTER(OFFSET($D$8:$Q$8,0,SearchDay-1,,15-SearchDay),(OFFSET(D340:Q340,0,SearchDay-1,,15-SearchDay)&gt;-1)*(OFFSET(D340:Q340,0,SearchDay-1,,15-SearchDay)&lt;=ValidC)),"ДД/ММ")),"")</f>
        <v/>
      </c>
      <c r="W340" t="str">
        <f t="shared" si="5"/>
        <v>СЦ ТамбовQR-поставка</v>
      </c>
      <c r="Y340" s="10"/>
      <c r="Z340" s="10"/>
      <c r="AA340" s="10"/>
      <c r="AB340" s="10"/>
    </row>
    <row r="341" spans="2:28" x14ac:dyDescent="0.45">
      <c r="B341" s="12" t="s">
        <v>89</v>
      </c>
      <c r="C341" s="12" t="s">
        <v>109</v>
      </c>
      <c r="D341" s="35">
        <v>-1</v>
      </c>
      <c r="E341" s="35">
        <v>-1</v>
      </c>
      <c r="F341" s="35">
        <v>-1</v>
      </c>
      <c r="G341" s="35">
        <v>-1</v>
      </c>
      <c r="H341" s="35">
        <v>-1</v>
      </c>
      <c r="I341" s="35">
        <v>-1</v>
      </c>
      <c r="J341" s="35">
        <v>-1</v>
      </c>
      <c r="K341" s="35">
        <v>-1</v>
      </c>
      <c r="L341" s="35">
        <v>-1</v>
      </c>
      <c r="M341" s="35">
        <v>-1</v>
      </c>
      <c r="N341" s="35">
        <v>-1</v>
      </c>
      <c r="O341" s="35">
        <v>-1</v>
      </c>
      <c r="P341" s="35">
        <v>-1</v>
      </c>
      <c r="Q341" s="35">
        <v>-1</v>
      </c>
      <c r="S341" s="5" t="str">
        <f>IF(_xlfn.XLOOKUP(StatTbl[[#This Row],[Join]],TargetSlots[Join],TargetSlots[Join],"Не найдено")&lt;&gt;"Не найдено","Ищем","Не ищем")</f>
        <v>Не ищем</v>
      </c>
      <c r="T341" s="4" t="str">
        <f ca="1">IF(COUNTIFS(OFFSET(D341:$Q341,0,SearchDay-1,,15-SearchDay),"&lt;="&amp; ValidC,OFFSET(D341:$Q341,0,SearchDay-1,,15-SearchDay),"&gt;-1")&gt;0,"Есть слот!","Ничего")</f>
        <v>Ничего</v>
      </c>
      <c r="U341">
        <f ca="1">IF(S341="Ищем",IF(StatTbl[[#This Row],[Доступность]]="Есть слот!",COUNTIFS(OFFSET(D341:$Q341,0,SearchDay-1),"&lt;="&amp; ValidC,OFFSET(D341:$Q341,0,SearchDay-1),"&gt;-1"),0),0)</f>
        <v>0</v>
      </c>
      <c r="V341" t="str" cm="1">
        <f t="array" aca="1" ref="V341" ca="1">IF(StatTbl[[#This Row],[Кол-во слотов]]&gt;0, B341&amp;" "&amp;C341&amp;" "&amp;_xlfn.TEXTJOIN(", ",FALSE,TEXT(_xlfn._xlws.FILTER(OFFSET($D$8:$Q$8,0,SearchDay-1,,15-SearchDay),(OFFSET(D341:Q341,0,SearchDay-1,,15-SearchDay)&gt;-1)*(OFFSET(D341:Q341,0,SearchDay-1,,15-SearchDay)&lt;=ValidC)),"ДД/ММ")),"")</f>
        <v/>
      </c>
      <c r="W341" t="str">
        <f t="shared" si="5"/>
        <v>СЦ ТверьКороба</v>
      </c>
      <c r="Y341" s="10"/>
      <c r="Z341" s="10"/>
      <c r="AA341" s="10"/>
      <c r="AB341" s="10"/>
    </row>
    <row r="342" spans="2:28" x14ac:dyDescent="0.45">
      <c r="B342" s="12" t="s">
        <v>89</v>
      </c>
      <c r="C342" s="12" t="s">
        <v>110</v>
      </c>
      <c r="D342" s="35">
        <v>-1</v>
      </c>
      <c r="E342" s="35">
        <v>-1</v>
      </c>
      <c r="F342" s="35">
        <v>-1</v>
      </c>
      <c r="G342" s="35">
        <v>-1</v>
      </c>
      <c r="H342" s="35">
        <v>-1</v>
      </c>
      <c r="I342" s="35">
        <v>-1</v>
      </c>
      <c r="J342" s="35">
        <v>-1</v>
      </c>
      <c r="K342" s="35">
        <v>-1</v>
      </c>
      <c r="L342" s="35">
        <v>-1</v>
      </c>
      <c r="M342" s="35">
        <v>-1</v>
      </c>
      <c r="N342" s="35">
        <v>-1</v>
      </c>
      <c r="O342" s="35">
        <v>-1</v>
      </c>
      <c r="P342" s="35">
        <v>-1</v>
      </c>
      <c r="Q342" s="35">
        <v>-1</v>
      </c>
      <c r="S342" s="5" t="str">
        <f>IF(_xlfn.XLOOKUP(StatTbl[[#This Row],[Join]],TargetSlots[Join],TargetSlots[Join],"Не найдено")&lt;&gt;"Не найдено","Ищем","Не ищем")</f>
        <v>Не ищем</v>
      </c>
      <c r="T342" s="4" t="str">
        <f ca="1">IF(COUNTIFS(OFFSET(D342:$Q342,0,SearchDay-1,,15-SearchDay),"&lt;="&amp; ValidC,OFFSET(D342:$Q342,0,SearchDay-1,,15-SearchDay),"&gt;-1")&gt;0,"Есть слот!","Ничего")</f>
        <v>Ничего</v>
      </c>
      <c r="U342">
        <f ca="1">IF(S342="Ищем",IF(StatTbl[[#This Row],[Доступность]]="Есть слот!",COUNTIFS(OFFSET(D342:$Q342,0,SearchDay-1),"&lt;="&amp; ValidC,OFFSET(D342:$Q342,0,SearchDay-1),"&gt;-1"),0),0)</f>
        <v>0</v>
      </c>
      <c r="V342" t="str" cm="1">
        <f t="array" aca="1" ref="V342" ca="1">IF(StatTbl[[#This Row],[Кол-во слотов]]&gt;0, B342&amp;" "&amp;C342&amp;" "&amp;_xlfn.TEXTJOIN(", ",FALSE,TEXT(_xlfn._xlws.FILTER(OFFSET($D$8:$Q$8,0,SearchDay-1,,15-SearchDay),(OFFSET(D342:Q342,0,SearchDay-1,,15-SearchDay)&gt;-1)*(OFFSET(D342:Q342,0,SearchDay-1,,15-SearchDay)&lt;=ValidC)),"ДД/ММ")),"")</f>
        <v/>
      </c>
      <c r="W342" t="str">
        <f t="shared" si="5"/>
        <v>СЦ ТверьМонопаллеты</v>
      </c>
    </row>
    <row r="343" spans="2:28" x14ac:dyDescent="0.45">
      <c r="B343" s="12" t="s">
        <v>89</v>
      </c>
      <c r="C343" s="12" t="s">
        <v>6</v>
      </c>
      <c r="D343" s="35">
        <v>-1</v>
      </c>
      <c r="E343" s="35">
        <v>-1</v>
      </c>
      <c r="F343" s="35">
        <v>-1</v>
      </c>
      <c r="G343" s="35">
        <v>-1</v>
      </c>
      <c r="H343" s="35">
        <v>-1</v>
      </c>
      <c r="I343" s="35">
        <v>-1</v>
      </c>
      <c r="J343" s="35">
        <v>-1</v>
      </c>
      <c r="K343" s="35">
        <v>-1</v>
      </c>
      <c r="L343" s="35">
        <v>-1</v>
      </c>
      <c r="M343" s="35">
        <v>-1</v>
      </c>
      <c r="N343" s="35">
        <v>-1</v>
      </c>
      <c r="O343" s="35">
        <v>-1</v>
      </c>
      <c r="P343" s="35">
        <v>-1</v>
      </c>
      <c r="Q343" s="35">
        <v>-1</v>
      </c>
      <c r="S343" s="5" t="str">
        <f>IF(_xlfn.XLOOKUP(StatTbl[[#This Row],[Join]],TargetSlots[Join],TargetSlots[Join],"Не найдено")&lt;&gt;"Не найдено","Ищем","Не ищем")</f>
        <v>Не ищем</v>
      </c>
      <c r="T343" s="4" t="str">
        <f ca="1">IF(COUNTIFS(OFFSET(D343:$Q343,0,SearchDay-1,,15-SearchDay),"&lt;="&amp; ValidC,OFFSET(D343:$Q343,0,SearchDay-1,,15-SearchDay),"&gt;-1")&gt;0,"Есть слот!","Ничего")</f>
        <v>Ничего</v>
      </c>
      <c r="U343">
        <f ca="1">IF(S343="Ищем",IF(StatTbl[[#This Row],[Доступность]]="Есть слот!",COUNTIFS(OFFSET(D343:$Q343,0,SearchDay-1),"&lt;="&amp; ValidC,OFFSET(D343:$Q343,0,SearchDay-1),"&gt;-1"),0),0)</f>
        <v>0</v>
      </c>
      <c r="V343" t="str" cm="1">
        <f t="array" aca="1" ref="V343" ca="1">IF(StatTbl[[#This Row],[Кол-во слотов]]&gt;0, B343&amp;" "&amp;C343&amp;" "&amp;_xlfn.TEXTJOIN(", ",FALSE,TEXT(_xlfn._xlws.FILTER(OFFSET($D$8:$Q$8,0,SearchDay-1,,15-SearchDay),(OFFSET(D343:Q343,0,SearchDay-1,,15-SearchDay)&gt;-1)*(OFFSET(D343:Q343,0,SearchDay-1,,15-SearchDay)&lt;=ValidC)),"ДД/ММ")),"")</f>
        <v/>
      </c>
      <c r="W343" t="str">
        <f t="shared" si="5"/>
        <v>СЦ ТверьСуперсейф</v>
      </c>
    </row>
    <row r="344" spans="2:28" x14ac:dyDescent="0.45">
      <c r="B344" s="12" t="s">
        <v>89</v>
      </c>
      <c r="C344" s="12" t="s">
        <v>111</v>
      </c>
      <c r="D344" s="35">
        <v>-1</v>
      </c>
      <c r="E344" s="35">
        <v>-1</v>
      </c>
      <c r="F344" s="35">
        <v>-1</v>
      </c>
      <c r="G344" s="35">
        <v>-1</v>
      </c>
      <c r="H344" s="35">
        <v>-1</v>
      </c>
      <c r="I344" s="35">
        <v>-1</v>
      </c>
      <c r="J344" s="35">
        <v>-1</v>
      </c>
      <c r="K344" s="35">
        <v>-1</v>
      </c>
      <c r="L344" s="35">
        <v>-1</v>
      </c>
      <c r="M344" s="35">
        <v>-1</v>
      </c>
      <c r="N344" s="35">
        <v>-1</v>
      </c>
      <c r="O344" s="35">
        <v>-1</v>
      </c>
      <c r="P344" s="35">
        <v>-1</v>
      </c>
      <c r="Q344" s="35">
        <v>-1</v>
      </c>
      <c r="S344" s="5" t="str">
        <f>IF(_xlfn.XLOOKUP(StatTbl[[#This Row],[Join]],TargetSlots[Join],TargetSlots[Join],"Не найдено")&lt;&gt;"Не найдено","Ищем","Не ищем")</f>
        <v>Не ищем</v>
      </c>
      <c r="T344" s="4" t="str">
        <f ca="1">IF(COUNTIFS(OFFSET(D344:$Q344,0,SearchDay-1,,15-SearchDay),"&lt;="&amp; ValidC,OFFSET(D344:$Q344,0,SearchDay-1,,15-SearchDay),"&gt;-1")&gt;0,"Есть слот!","Ничего")</f>
        <v>Ничего</v>
      </c>
      <c r="U344">
        <f ca="1">IF(S344="Ищем",IF(StatTbl[[#This Row],[Доступность]]="Есть слот!",COUNTIFS(OFFSET(D344:$Q344,0,SearchDay-1),"&lt;="&amp; ValidC,OFFSET(D344:$Q344,0,SearchDay-1),"&gt;-1"),0),0)</f>
        <v>0</v>
      </c>
      <c r="V344" t="str" cm="1">
        <f t="array" aca="1" ref="V344" ca="1">IF(StatTbl[[#This Row],[Кол-во слотов]]&gt;0, B344&amp;" "&amp;C344&amp;" "&amp;_xlfn.TEXTJOIN(", ",FALSE,TEXT(_xlfn._xlws.FILTER(OFFSET($D$8:$Q$8,0,SearchDay-1,,15-SearchDay),(OFFSET(D344:Q344,0,SearchDay-1,,15-SearchDay)&gt;-1)*(OFFSET(D344:Q344,0,SearchDay-1,,15-SearchDay)&lt;=ValidC)),"ДД/ММ")),"")</f>
        <v/>
      </c>
      <c r="W344" t="str">
        <f t="shared" si="5"/>
        <v>СЦ ТверьQR-поставка</v>
      </c>
    </row>
    <row r="345" spans="2:28" x14ac:dyDescent="0.45">
      <c r="B345" s="12" t="s">
        <v>90</v>
      </c>
      <c r="C345" s="12" t="s">
        <v>109</v>
      </c>
      <c r="D345" s="35">
        <v>10</v>
      </c>
      <c r="E345" s="35">
        <v>10</v>
      </c>
      <c r="F345" s="35">
        <v>10</v>
      </c>
      <c r="G345" s="35">
        <v>10</v>
      </c>
      <c r="H345" s="35">
        <v>10</v>
      </c>
      <c r="I345" s="35">
        <v>10</v>
      </c>
      <c r="J345" s="35">
        <v>10</v>
      </c>
      <c r="K345" s="35">
        <v>10</v>
      </c>
      <c r="L345" s="35">
        <v>20</v>
      </c>
      <c r="M345" s="35">
        <v>10</v>
      </c>
      <c r="N345" s="35">
        <v>10</v>
      </c>
      <c r="O345" s="35">
        <v>10</v>
      </c>
      <c r="P345" s="35">
        <v>10</v>
      </c>
      <c r="Q345" s="35">
        <v>-1</v>
      </c>
      <c r="S345" s="5" t="str">
        <f>IF(_xlfn.XLOOKUP(StatTbl[[#This Row],[Join]],TargetSlots[Join],TargetSlots[Join],"Не найдено")&lt;&gt;"Не найдено","Ищем","Не ищем")</f>
        <v>Не ищем</v>
      </c>
      <c r="T345" s="4" t="str">
        <f ca="1">IF(COUNTIFS(OFFSET(D345:$Q345,0,SearchDay-1,,15-SearchDay),"&lt;="&amp; ValidC,OFFSET(D345:$Q345,0,SearchDay-1,,15-SearchDay),"&gt;-1")&gt;0,"Есть слот!","Ничего")</f>
        <v>Ничего</v>
      </c>
      <c r="U345">
        <f ca="1">IF(S345="Ищем",IF(StatTbl[[#This Row],[Доступность]]="Есть слот!",COUNTIFS(OFFSET(D345:$Q345,0,SearchDay-1),"&lt;="&amp; ValidC,OFFSET(D345:$Q345,0,SearchDay-1),"&gt;-1"),0),0)</f>
        <v>0</v>
      </c>
      <c r="V345" t="str" cm="1">
        <f t="array" aca="1" ref="V345" ca="1">IF(StatTbl[[#This Row],[Кол-во слотов]]&gt;0, B345&amp;" "&amp;C345&amp;" "&amp;_xlfn.TEXTJOIN(", ",FALSE,TEXT(_xlfn._xlws.FILTER(OFFSET($D$8:$Q$8,0,SearchDay-1,,15-SearchDay),(OFFSET(D345:Q345,0,SearchDay-1,,15-SearchDay)&gt;-1)*(OFFSET(D345:Q345,0,SearchDay-1,,15-SearchDay)&lt;=ValidC)),"ДД/ММ")),"")</f>
        <v/>
      </c>
      <c r="W345" t="str">
        <f t="shared" si="5"/>
        <v>СЦ ТомскКороба</v>
      </c>
    </row>
    <row r="346" spans="2:28" x14ac:dyDescent="0.45">
      <c r="B346" s="12" t="s">
        <v>90</v>
      </c>
      <c r="C346" s="12" t="s">
        <v>110</v>
      </c>
      <c r="D346" s="35">
        <v>-1</v>
      </c>
      <c r="E346" s="35">
        <v>-1</v>
      </c>
      <c r="F346" s="35">
        <v>-1</v>
      </c>
      <c r="G346" s="35">
        <v>-1</v>
      </c>
      <c r="H346" s="35">
        <v>-1</v>
      </c>
      <c r="I346" s="35">
        <v>-1</v>
      </c>
      <c r="J346" s="35">
        <v>-1</v>
      </c>
      <c r="K346" s="35">
        <v>-1</v>
      </c>
      <c r="L346" s="35">
        <v>-1</v>
      </c>
      <c r="M346" s="35">
        <v>-1</v>
      </c>
      <c r="N346" s="35">
        <v>-1</v>
      </c>
      <c r="O346" s="35">
        <v>-1</v>
      </c>
      <c r="P346" s="35">
        <v>-1</v>
      </c>
      <c r="Q346" s="35">
        <v>-1</v>
      </c>
      <c r="S346" s="5" t="str">
        <f>IF(_xlfn.XLOOKUP(StatTbl[[#This Row],[Join]],TargetSlots[Join],TargetSlots[Join],"Не найдено")&lt;&gt;"Не найдено","Ищем","Не ищем")</f>
        <v>Не ищем</v>
      </c>
      <c r="T346" s="4" t="str">
        <f ca="1">IF(COUNTIFS(OFFSET(D346:$Q346,0,SearchDay-1,,15-SearchDay),"&lt;="&amp; ValidC,OFFSET(D346:$Q346,0,SearchDay-1,,15-SearchDay),"&gt;-1")&gt;0,"Есть слот!","Ничего")</f>
        <v>Ничего</v>
      </c>
      <c r="U346">
        <f ca="1">IF(S346="Ищем",IF(StatTbl[[#This Row],[Доступность]]="Есть слот!",COUNTIFS(OFFSET(D346:$Q346,0,SearchDay-1),"&lt;="&amp; ValidC,OFFSET(D346:$Q346,0,SearchDay-1),"&gt;-1"),0),0)</f>
        <v>0</v>
      </c>
      <c r="V346" t="str" cm="1">
        <f t="array" aca="1" ref="V346" ca="1">IF(StatTbl[[#This Row],[Кол-во слотов]]&gt;0, B346&amp;" "&amp;C346&amp;" "&amp;_xlfn.TEXTJOIN(", ",FALSE,TEXT(_xlfn._xlws.FILTER(OFFSET($D$8:$Q$8,0,SearchDay-1,,15-SearchDay),(OFFSET(D346:Q346,0,SearchDay-1,,15-SearchDay)&gt;-1)*(OFFSET(D346:Q346,0,SearchDay-1,,15-SearchDay)&lt;=ValidC)),"ДД/ММ")),"")</f>
        <v/>
      </c>
      <c r="W346" t="str">
        <f t="shared" si="5"/>
        <v>СЦ ТомскМонопаллеты</v>
      </c>
    </row>
    <row r="347" spans="2:28" x14ac:dyDescent="0.45">
      <c r="B347" s="12" t="s">
        <v>90</v>
      </c>
      <c r="C347" s="12" t="s">
        <v>6</v>
      </c>
      <c r="D347" s="35">
        <v>-1</v>
      </c>
      <c r="E347" s="35">
        <v>-1</v>
      </c>
      <c r="F347" s="35">
        <v>-1</v>
      </c>
      <c r="G347" s="35">
        <v>-1</v>
      </c>
      <c r="H347" s="35">
        <v>-1</v>
      </c>
      <c r="I347" s="35">
        <v>-1</v>
      </c>
      <c r="J347" s="35">
        <v>-1</v>
      </c>
      <c r="K347" s="35">
        <v>-1</v>
      </c>
      <c r="L347" s="35">
        <v>-1</v>
      </c>
      <c r="M347" s="35">
        <v>-1</v>
      </c>
      <c r="N347" s="35">
        <v>-1</v>
      </c>
      <c r="O347" s="35">
        <v>-1</v>
      </c>
      <c r="P347" s="35">
        <v>-1</v>
      </c>
      <c r="Q347" s="35">
        <v>-1</v>
      </c>
      <c r="S347" s="5" t="str">
        <f>IF(_xlfn.XLOOKUP(StatTbl[[#This Row],[Join]],TargetSlots[Join],TargetSlots[Join],"Не найдено")&lt;&gt;"Не найдено","Ищем","Не ищем")</f>
        <v>Не ищем</v>
      </c>
      <c r="T347" s="4" t="str">
        <f ca="1">IF(COUNTIFS(OFFSET(D347:$Q347,0,SearchDay-1,,15-SearchDay),"&lt;="&amp; ValidC,OFFSET(D347:$Q347,0,SearchDay-1,,15-SearchDay),"&gt;-1")&gt;0,"Есть слот!","Ничего")</f>
        <v>Ничего</v>
      </c>
      <c r="U347">
        <f ca="1">IF(S347="Ищем",IF(StatTbl[[#This Row],[Доступность]]="Есть слот!",COUNTIFS(OFFSET(D347:$Q347,0,SearchDay-1),"&lt;="&amp; ValidC,OFFSET(D347:$Q347,0,SearchDay-1),"&gt;-1"),0),0)</f>
        <v>0</v>
      </c>
      <c r="V347" t="str" cm="1">
        <f t="array" aca="1" ref="V347" ca="1">IF(StatTbl[[#This Row],[Кол-во слотов]]&gt;0, B347&amp;" "&amp;C347&amp;" "&amp;_xlfn.TEXTJOIN(", ",FALSE,TEXT(_xlfn._xlws.FILTER(OFFSET($D$8:$Q$8,0,SearchDay-1,,15-SearchDay),(OFFSET(D347:Q347,0,SearchDay-1,,15-SearchDay)&gt;-1)*(OFFSET(D347:Q347,0,SearchDay-1,,15-SearchDay)&lt;=ValidC)),"ДД/ММ")),"")</f>
        <v/>
      </c>
      <c r="W347" t="str">
        <f t="shared" si="5"/>
        <v>СЦ ТомскСуперсейф</v>
      </c>
    </row>
    <row r="348" spans="2:28" x14ac:dyDescent="0.45">
      <c r="B348" s="12" t="s">
        <v>90</v>
      </c>
      <c r="C348" s="12" t="s">
        <v>111</v>
      </c>
      <c r="D348" s="35">
        <v>10</v>
      </c>
      <c r="E348" s="35">
        <v>10</v>
      </c>
      <c r="F348" s="35">
        <v>10</v>
      </c>
      <c r="G348" s="35">
        <v>10</v>
      </c>
      <c r="H348" s="35">
        <v>10</v>
      </c>
      <c r="I348" s="35">
        <v>10</v>
      </c>
      <c r="J348" s="35">
        <v>10</v>
      </c>
      <c r="K348" s="35">
        <v>10</v>
      </c>
      <c r="L348" s="35">
        <v>10</v>
      </c>
      <c r="M348" s="35">
        <v>10</v>
      </c>
      <c r="N348" s="35">
        <v>10</v>
      </c>
      <c r="O348" s="35">
        <v>-1</v>
      </c>
      <c r="P348" s="35">
        <v>-1</v>
      </c>
      <c r="Q348" s="35">
        <v>-1</v>
      </c>
      <c r="S348" s="5" t="str">
        <f>IF(_xlfn.XLOOKUP(StatTbl[[#This Row],[Join]],TargetSlots[Join],TargetSlots[Join],"Не найдено")&lt;&gt;"Не найдено","Ищем","Не ищем")</f>
        <v>Не ищем</v>
      </c>
      <c r="T348" s="4" t="str">
        <f ca="1">IF(COUNTIFS(OFFSET(D348:$Q348,0,SearchDay-1,,15-SearchDay),"&lt;="&amp; ValidC,OFFSET(D348:$Q348,0,SearchDay-1,,15-SearchDay),"&gt;-1")&gt;0,"Есть слот!","Ничего")</f>
        <v>Ничего</v>
      </c>
      <c r="U348">
        <f ca="1">IF(S348="Ищем",IF(StatTbl[[#This Row],[Доступность]]="Есть слот!",COUNTIFS(OFFSET(D348:$Q348,0,SearchDay-1),"&lt;="&amp; ValidC,OFFSET(D348:$Q348,0,SearchDay-1),"&gt;-1"),0),0)</f>
        <v>0</v>
      </c>
      <c r="V348" t="str" cm="1">
        <f t="array" aca="1" ref="V348" ca="1">IF(StatTbl[[#This Row],[Кол-во слотов]]&gt;0, B348&amp;" "&amp;C348&amp;" "&amp;_xlfn.TEXTJOIN(", ",FALSE,TEXT(_xlfn._xlws.FILTER(OFFSET($D$8:$Q$8,0,SearchDay-1,,15-SearchDay),(OFFSET(D348:Q348,0,SearchDay-1,,15-SearchDay)&gt;-1)*(OFFSET(D348:Q348,0,SearchDay-1,,15-SearchDay)&lt;=ValidC)),"ДД/ММ")),"")</f>
        <v/>
      </c>
      <c r="W348" t="str">
        <f t="shared" si="5"/>
        <v>СЦ ТомскQR-поставка</v>
      </c>
    </row>
    <row r="349" spans="2:28" x14ac:dyDescent="0.45">
      <c r="B349" s="12" t="s">
        <v>91</v>
      </c>
      <c r="C349" s="12" t="s">
        <v>109</v>
      </c>
      <c r="D349" s="35">
        <v>20</v>
      </c>
      <c r="E349" s="35">
        <v>20</v>
      </c>
      <c r="F349" s="35">
        <v>20</v>
      </c>
      <c r="G349" s="35">
        <v>20</v>
      </c>
      <c r="H349" s="35">
        <v>20</v>
      </c>
      <c r="I349" s="35">
        <v>20</v>
      </c>
      <c r="J349" s="35">
        <v>20</v>
      </c>
      <c r="K349" s="35">
        <v>20</v>
      </c>
      <c r="L349" s="35">
        <v>20</v>
      </c>
      <c r="M349" s="35">
        <v>20</v>
      </c>
      <c r="N349" s="35">
        <v>20</v>
      </c>
      <c r="O349" s="35">
        <v>20</v>
      </c>
      <c r="P349" s="35">
        <v>20</v>
      </c>
      <c r="Q349" s="35">
        <v>-1</v>
      </c>
      <c r="S349" s="5" t="str">
        <f>IF(_xlfn.XLOOKUP(StatTbl[[#This Row],[Join]],TargetSlots[Join],TargetSlots[Join],"Не найдено")&lt;&gt;"Не найдено","Ищем","Не ищем")</f>
        <v>Не ищем</v>
      </c>
      <c r="T349" s="4" t="str">
        <f ca="1">IF(COUNTIFS(OFFSET(D349:$Q349,0,SearchDay-1,,15-SearchDay),"&lt;="&amp; ValidC,OFFSET(D349:$Q349,0,SearchDay-1,,15-SearchDay),"&gt;-1")&gt;0,"Есть слот!","Ничего")</f>
        <v>Ничего</v>
      </c>
      <c r="U349">
        <f ca="1">IF(S349="Ищем",IF(StatTbl[[#This Row],[Доступность]]="Есть слот!",COUNTIFS(OFFSET(D349:$Q349,0,SearchDay-1),"&lt;="&amp; ValidC,OFFSET(D349:$Q349,0,SearchDay-1),"&gt;-1"),0),0)</f>
        <v>0</v>
      </c>
      <c r="V349" t="str" cm="1">
        <f t="array" aca="1" ref="V349" ca="1">IF(StatTbl[[#This Row],[Кол-во слотов]]&gt;0, B349&amp;" "&amp;C349&amp;" "&amp;_xlfn.TEXTJOIN(", ",FALSE,TEXT(_xlfn._xlws.FILTER(OFFSET($D$8:$Q$8,0,SearchDay-1,,15-SearchDay),(OFFSET(D349:Q349,0,SearchDay-1,,15-SearchDay)&gt;-1)*(OFFSET(D349:Q349,0,SearchDay-1,,15-SearchDay)&lt;=ValidC)),"ДД/ММ")),"")</f>
        <v/>
      </c>
      <c r="W349" t="str">
        <f t="shared" si="5"/>
        <v>СЦ ТюменьКороба</v>
      </c>
    </row>
    <row r="350" spans="2:28" x14ac:dyDescent="0.45">
      <c r="B350" s="12" t="s">
        <v>91</v>
      </c>
      <c r="C350" s="12" t="s">
        <v>110</v>
      </c>
      <c r="D350" s="35">
        <v>-1</v>
      </c>
      <c r="E350" s="35">
        <v>-1</v>
      </c>
      <c r="F350" s="35">
        <v>-1</v>
      </c>
      <c r="G350" s="35">
        <v>-1</v>
      </c>
      <c r="H350" s="35">
        <v>-1</v>
      </c>
      <c r="I350" s="35">
        <v>-1</v>
      </c>
      <c r="J350" s="35">
        <v>-1</v>
      </c>
      <c r="K350" s="35">
        <v>-1</v>
      </c>
      <c r="L350" s="35">
        <v>-1</v>
      </c>
      <c r="M350" s="35">
        <v>-1</v>
      </c>
      <c r="N350" s="35">
        <v>-1</v>
      </c>
      <c r="O350" s="35">
        <v>-1</v>
      </c>
      <c r="P350" s="35">
        <v>-1</v>
      </c>
      <c r="Q350" s="35">
        <v>-1</v>
      </c>
      <c r="S350" s="5" t="str">
        <f>IF(_xlfn.XLOOKUP(StatTbl[[#This Row],[Join]],TargetSlots[Join],TargetSlots[Join],"Не найдено")&lt;&gt;"Не найдено","Ищем","Не ищем")</f>
        <v>Не ищем</v>
      </c>
      <c r="T350" s="4" t="str">
        <f ca="1">IF(COUNTIFS(OFFSET(D350:$Q350,0,SearchDay-1,,15-SearchDay),"&lt;="&amp; ValidC,OFFSET(D350:$Q350,0,SearchDay-1,,15-SearchDay),"&gt;-1")&gt;0,"Есть слот!","Ничего")</f>
        <v>Ничего</v>
      </c>
      <c r="U350">
        <f ca="1">IF(S350="Ищем",IF(StatTbl[[#This Row],[Доступность]]="Есть слот!",COUNTIFS(OFFSET(D350:$Q350,0,SearchDay-1),"&lt;="&amp; ValidC,OFFSET(D350:$Q350,0,SearchDay-1),"&gt;-1"),0),0)</f>
        <v>0</v>
      </c>
      <c r="V350" t="str" cm="1">
        <f t="array" aca="1" ref="V350" ca="1">IF(StatTbl[[#This Row],[Кол-во слотов]]&gt;0, B350&amp;" "&amp;C350&amp;" "&amp;_xlfn.TEXTJOIN(", ",FALSE,TEXT(_xlfn._xlws.FILTER(OFFSET($D$8:$Q$8,0,SearchDay-1,,15-SearchDay),(OFFSET(D350:Q350,0,SearchDay-1,,15-SearchDay)&gt;-1)*(OFFSET(D350:Q350,0,SearchDay-1,,15-SearchDay)&lt;=ValidC)),"ДД/ММ")),"")</f>
        <v/>
      </c>
      <c r="W350" t="str">
        <f t="shared" si="5"/>
        <v>СЦ ТюменьМонопаллеты</v>
      </c>
    </row>
    <row r="351" spans="2:28" x14ac:dyDescent="0.45">
      <c r="B351" s="12" t="s">
        <v>91</v>
      </c>
      <c r="C351" s="12" t="s">
        <v>6</v>
      </c>
      <c r="D351" s="35">
        <v>-1</v>
      </c>
      <c r="E351" s="35">
        <v>-1</v>
      </c>
      <c r="F351" s="35">
        <v>-1</v>
      </c>
      <c r="G351" s="35">
        <v>-1</v>
      </c>
      <c r="H351" s="35">
        <v>-1</v>
      </c>
      <c r="I351" s="35">
        <v>-1</v>
      </c>
      <c r="J351" s="35">
        <v>-1</v>
      </c>
      <c r="K351" s="35">
        <v>-1</v>
      </c>
      <c r="L351" s="35">
        <v>-1</v>
      </c>
      <c r="M351" s="35">
        <v>-1</v>
      </c>
      <c r="N351" s="35">
        <v>-1</v>
      </c>
      <c r="O351" s="35">
        <v>-1</v>
      </c>
      <c r="P351" s="35">
        <v>-1</v>
      </c>
      <c r="Q351" s="35">
        <v>-1</v>
      </c>
      <c r="S351" s="5" t="str">
        <f>IF(_xlfn.XLOOKUP(StatTbl[[#This Row],[Join]],TargetSlots[Join],TargetSlots[Join],"Не найдено")&lt;&gt;"Не найдено","Ищем","Не ищем")</f>
        <v>Не ищем</v>
      </c>
      <c r="T351" s="4" t="str">
        <f ca="1">IF(COUNTIFS(OFFSET(D351:$Q351,0,SearchDay-1,,15-SearchDay),"&lt;="&amp; ValidC,OFFSET(D351:$Q351,0,SearchDay-1,,15-SearchDay),"&gt;-1")&gt;0,"Есть слот!","Ничего")</f>
        <v>Ничего</v>
      </c>
      <c r="U351">
        <f ca="1">IF(S351="Ищем",IF(StatTbl[[#This Row],[Доступность]]="Есть слот!",COUNTIFS(OFFSET(D351:$Q351,0,SearchDay-1),"&lt;="&amp; ValidC,OFFSET(D351:$Q351,0,SearchDay-1),"&gt;-1"),0),0)</f>
        <v>0</v>
      </c>
      <c r="V351" t="str" cm="1">
        <f t="array" aca="1" ref="V351" ca="1">IF(StatTbl[[#This Row],[Кол-во слотов]]&gt;0, B351&amp;" "&amp;C351&amp;" "&amp;_xlfn.TEXTJOIN(", ",FALSE,TEXT(_xlfn._xlws.FILTER(OFFSET($D$8:$Q$8,0,SearchDay-1,,15-SearchDay),(OFFSET(D351:Q351,0,SearchDay-1,,15-SearchDay)&gt;-1)*(OFFSET(D351:Q351,0,SearchDay-1,,15-SearchDay)&lt;=ValidC)),"ДД/ММ")),"")</f>
        <v/>
      </c>
      <c r="W351" t="str">
        <f t="shared" si="5"/>
        <v>СЦ ТюменьСуперсейф</v>
      </c>
    </row>
    <row r="352" spans="2:28" x14ac:dyDescent="0.45">
      <c r="B352" s="12" t="s">
        <v>91</v>
      </c>
      <c r="C352" s="12" t="s">
        <v>111</v>
      </c>
      <c r="D352" s="35">
        <v>20</v>
      </c>
      <c r="E352" s="35">
        <v>20</v>
      </c>
      <c r="F352" s="35">
        <v>20</v>
      </c>
      <c r="G352" s="35">
        <v>20</v>
      </c>
      <c r="H352" s="35">
        <v>20</v>
      </c>
      <c r="I352" s="35">
        <v>20</v>
      </c>
      <c r="J352" s="35">
        <v>20</v>
      </c>
      <c r="K352" s="35">
        <v>20</v>
      </c>
      <c r="L352" s="35">
        <v>20</v>
      </c>
      <c r="M352" s="35">
        <v>20</v>
      </c>
      <c r="N352" s="35">
        <v>20</v>
      </c>
      <c r="O352" s="35">
        <v>-1</v>
      </c>
      <c r="P352" s="35">
        <v>-1</v>
      </c>
      <c r="Q352" s="35">
        <v>-1</v>
      </c>
      <c r="S352" s="5" t="str">
        <f>IF(_xlfn.XLOOKUP(StatTbl[[#This Row],[Join]],TargetSlots[Join],TargetSlots[Join],"Не найдено")&lt;&gt;"Не найдено","Ищем","Не ищем")</f>
        <v>Не ищем</v>
      </c>
      <c r="T352" s="4" t="str">
        <f ca="1">IF(COUNTIFS(OFFSET(D352:$Q352,0,SearchDay-1,,15-SearchDay),"&lt;="&amp; ValidC,OFFSET(D352:$Q352,0,SearchDay-1,,15-SearchDay),"&gt;-1")&gt;0,"Есть слот!","Ничего")</f>
        <v>Ничего</v>
      </c>
      <c r="U352">
        <f ca="1">IF(S352="Ищем",IF(StatTbl[[#This Row],[Доступность]]="Есть слот!",COUNTIFS(OFFSET(D352:$Q352,0,SearchDay-1),"&lt;="&amp; ValidC,OFFSET(D352:$Q352,0,SearchDay-1),"&gt;-1"),0),0)</f>
        <v>0</v>
      </c>
      <c r="V352" t="str" cm="1">
        <f t="array" aca="1" ref="V352" ca="1">IF(StatTbl[[#This Row],[Кол-во слотов]]&gt;0, B352&amp;" "&amp;C352&amp;" "&amp;_xlfn.TEXTJOIN(", ",FALSE,TEXT(_xlfn._xlws.FILTER(OFFSET($D$8:$Q$8,0,SearchDay-1,,15-SearchDay),(OFFSET(D352:Q352,0,SearchDay-1,,15-SearchDay)&gt;-1)*(OFFSET(D352:Q352,0,SearchDay-1,,15-SearchDay)&lt;=ValidC)),"ДД/ММ")),"")</f>
        <v/>
      </c>
      <c r="W352" t="str">
        <f t="shared" si="5"/>
        <v>СЦ ТюменьQR-поставка</v>
      </c>
    </row>
    <row r="353" spans="2:23" x14ac:dyDescent="0.45">
      <c r="B353" s="12" t="s">
        <v>92</v>
      </c>
      <c r="C353" s="12" t="s">
        <v>109</v>
      </c>
      <c r="D353" s="35">
        <v>5</v>
      </c>
      <c r="E353" s="35">
        <v>5</v>
      </c>
      <c r="F353" s="35">
        <v>20</v>
      </c>
      <c r="G353" s="35">
        <v>20</v>
      </c>
      <c r="H353" s="35">
        <v>20</v>
      </c>
      <c r="I353" s="35">
        <v>20</v>
      </c>
      <c r="J353" s="35">
        <v>20</v>
      </c>
      <c r="K353" s="35">
        <v>20</v>
      </c>
      <c r="L353" s="35">
        <v>20</v>
      </c>
      <c r="M353" s="35">
        <v>20</v>
      </c>
      <c r="N353" s="35">
        <v>20</v>
      </c>
      <c r="O353" s="35">
        <v>20</v>
      </c>
      <c r="P353" s="35">
        <v>20</v>
      </c>
      <c r="Q353" s="35">
        <v>20</v>
      </c>
      <c r="S353" s="5" t="str">
        <f>IF(_xlfn.XLOOKUP(StatTbl[[#This Row],[Join]],TargetSlots[Join],TargetSlots[Join],"Не найдено")&lt;&gt;"Не найдено","Ищем","Не ищем")</f>
        <v>Не ищем</v>
      </c>
      <c r="T353" s="4" t="str">
        <f ca="1">IF(COUNTIFS(OFFSET(D353:$Q353,0,SearchDay-1,,15-SearchDay),"&lt;="&amp; ValidC,OFFSET(D353:$Q353,0,SearchDay-1,,15-SearchDay),"&gt;-1")&gt;0,"Есть слот!","Ничего")</f>
        <v>Ничего</v>
      </c>
      <c r="U353">
        <f ca="1">IF(S353="Ищем",IF(StatTbl[[#This Row],[Доступность]]="Есть слот!",COUNTIFS(OFFSET(D353:$Q353,0,SearchDay-1),"&lt;="&amp; ValidC,OFFSET(D353:$Q353,0,SearchDay-1),"&gt;-1"),0),0)</f>
        <v>0</v>
      </c>
      <c r="V353" t="str" cm="1">
        <f t="array" aca="1" ref="V353" ca="1">IF(StatTbl[[#This Row],[Кол-во слотов]]&gt;0, B353&amp;" "&amp;C353&amp;" "&amp;_xlfn.TEXTJOIN(", ",FALSE,TEXT(_xlfn._xlws.FILTER(OFFSET($D$8:$Q$8,0,SearchDay-1,,15-SearchDay),(OFFSET(D353:Q353,0,SearchDay-1,,15-SearchDay)&gt;-1)*(OFFSET(D353:Q353,0,SearchDay-1,,15-SearchDay)&lt;=ValidC)),"ДД/ММ")),"")</f>
        <v/>
      </c>
      <c r="W353" t="str">
        <f t="shared" si="5"/>
        <v>СЦ УльяновскКороба</v>
      </c>
    </row>
    <row r="354" spans="2:23" x14ac:dyDescent="0.45">
      <c r="B354" s="12" t="s">
        <v>92</v>
      </c>
      <c r="C354" s="12" t="s">
        <v>110</v>
      </c>
      <c r="D354" s="35">
        <v>-1</v>
      </c>
      <c r="E354" s="35">
        <v>-1</v>
      </c>
      <c r="F354" s="35">
        <v>-1</v>
      </c>
      <c r="G354" s="35">
        <v>-1</v>
      </c>
      <c r="H354" s="35">
        <v>-1</v>
      </c>
      <c r="I354" s="35">
        <v>-1</v>
      </c>
      <c r="J354" s="35">
        <v>-1</v>
      </c>
      <c r="K354" s="35">
        <v>-1</v>
      </c>
      <c r="L354" s="35">
        <v>-1</v>
      </c>
      <c r="M354" s="35">
        <v>-1</v>
      </c>
      <c r="N354" s="35">
        <v>-1</v>
      </c>
      <c r="O354" s="35">
        <v>-1</v>
      </c>
      <c r="P354" s="35">
        <v>-1</v>
      </c>
      <c r="Q354" s="35">
        <v>-1</v>
      </c>
      <c r="S354" s="5" t="str">
        <f>IF(_xlfn.XLOOKUP(StatTbl[[#This Row],[Join]],TargetSlots[Join],TargetSlots[Join],"Не найдено")&lt;&gt;"Не найдено","Ищем","Не ищем")</f>
        <v>Не ищем</v>
      </c>
      <c r="T354" s="4" t="str">
        <f ca="1">IF(COUNTIFS(OFFSET(D354:$Q354,0,SearchDay-1,,15-SearchDay),"&lt;="&amp; ValidC,OFFSET(D354:$Q354,0,SearchDay-1,,15-SearchDay),"&gt;-1")&gt;0,"Есть слот!","Ничего")</f>
        <v>Ничего</v>
      </c>
      <c r="U354">
        <f ca="1">IF(S354="Ищем",IF(StatTbl[[#This Row],[Доступность]]="Есть слот!",COUNTIFS(OFFSET(D354:$Q354,0,SearchDay-1),"&lt;="&amp; ValidC,OFFSET(D354:$Q354,0,SearchDay-1),"&gt;-1"),0),0)</f>
        <v>0</v>
      </c>
      <c r="V354" t="str" cm="1">
        <f t="array" aca="1" ref="V354" ca="1">IF(StatTbl[[#This Row],[Кол-во слотов]]&gt;0, B354&amp;" "&amp;C354&amp;" "&amp;_xlfn.TEXTJOIN(", ",FALSE,TEXT(_xlfn._xlws.FILTER(OFFSET($D$8:$Q$8,0,SearchDay-1,,15-SearchDay),(OFFSET(D354:Q354,0,SearchDay-1,,15-SearchDay)&gt;-1)*(OFFSET(D354:Q354,0,SearchDay-1,,15-SearchDay)&lt;=ValidC)),"ДД/ММ")),"")</f>
        <v/>
      </c>
      <c r="W354" t="str">
        <f t="shared" si="5"/>
        <v>СЦ УльяновскМонопаллеты</v>
      </c>
    </row>
    <row r="355" spans="2:23" x14ac:dyDescent="0.45">
      <c r="B355" s="12" t="s">
        <v>92</v>
      </c>
      <c r="C355" s="12" t="s">
        <v>6</v>
      </c>
      <c r="D355" s="35">
        <v>-1</v>
      </c>
      <c r="E355" s="35">
        <v>-1</v>
      </c>
      <c r="F355" s="35">
        <v>-1</v>
      </c>
      <c r="G355" s="35">
        <v>-1</v>
      </c>
      <c r="H355" s="35">
        <v>-1</v>
      </c>
      <c r="I355" s="35">
        <v>-1</v>
      </c>
      <c r="J355" s="35">
        <v>-1</v>
      </c>
      <c r="K355" s="35">
        <v>-1</v>
      </c>
      <c r="L355" s="35">
        <v>-1</v>
      </c>
      <c r="M355" s="35">
        <v>-1</v>
      </c>
      <c r="N355" s="35">
        <v>-1</v>
      </c>
      <c r="O355" s="35">
        <v>-1</v>
      </c>
      <c r="P355" s="35">
        <v>-1</v>
      </c>
      <c r="Q355" s="35">
        <v>-1</v>
      </c>
      <c r="S355" s="5" t="str">
        <f>IF(_xlfn.XLOOKUP(StatTbl[[#This Row],[Join]],TargetSlots[Join],TargetSlots[Join],"Не найдено")&lt;&gt;"Не найдено","Ищем","Не ищем")</f>
        <v>Не ищем</v>
      </c>
      <c r="T355" s="4" t="str">
        <f ca="1">IF(COUNTIFS(OFFSET(D355:$Q355,0,SearchDay-1,,15-SearchDay),"&lt;="&amp; ValidC,OFFSET(D355:$Q355,0,SearchDay-1,,15-SearchDay),"&gt;-1")&gt;0,"Есть слот!","Ничего")</f>
        <v>Ничего</v>
      </c>
      <c r="U355">
        <f ca="1">IF(S355="Ищем",IF(StatTbl[[#This Row],[Доступность]]="Есть слот!",COUNTIFS(OFFSET(D355:$Q355,0,SearchDay-1),"&lt;="&amp; ValidC,OFFSET(D355:$Q355,0,SearchDay-1),"&gt;-1"),0),0)</f>
        <v>0</v>
      </c>
      <c r="V355" t="str" cm="1">
        <f t="array" aca="1" ref="V355" ca="1">IF(StatTbl[[#This Row],[Кол-во слотов]]&gt;0, B355&amp;" "&amp;C355&amp;" "&amp;_xlfn.TEXTJOIN(", ",FALSE,TEXT(_xlfn._xlws.FILTER(OFFSET($D$8:$Q$8,0,SearchDay-1,,15-SearchDay),(OFFSET(D355:Q355,0,SearchDay-1,,15-SearchDay)&gt;-1)*(OFFSET(D355:Q355,0,SearchDay-1,,15-SearchDay)&lt;=ValidC)),"ДД/ММ")),"")</f>
        <v/>
      </c>
      <c r="W355" t="str">
        <f t="shared" si="5"/>
        <v>СЦ УльяновскСуперсейф</v>
      </c>
    </row>
    <row r="356" spans="2:23" x14ac:dyDescent="0.45">
      <c r="B356" s="12" t="s">
        <v>92</v>
      </c>
      <c r="C356" s="12" t="s">
        <v>111</v>
      </c>
      <c r="D356" s="35">
        <v>20</v>
      </c>
      <c r="E356" s="35">
        <v>20</v>
      </c>
      <c r="F356" s="35">
        <v>20</v>
      </c>
      <c r="G356" s="35">
        <v>20</v>
      </c>
      <c r="H356" s="35">
        <v>20</v>
      </c>
      <c r="I356" s="35">
        <v>20</v>
      </c>
      <c r="J356" s="35">
        <v>20</v>
      </c>
      <c r="K356" s="35">
        <v>20</v>
      </c>
      <c r="L356" s="35">
        <v>20</v>
      </c>
      <c r="M356" s="35">
        <v>20</v>
      </c>
      <c r="N356" s="35">
        <v>20</v>
      </c>
      <c r="O356" s="35">
        <v>-1</v>
      </c>
      <c r="P356" s="35">
        <v>-1</v>
      </c>
      <c r="Q356" s="35">
        <v>-1</v>
      </c>
      <c r="S356" s="5" t="str">
        <f>IF(_xlfn.XLOOKUP(StatTbl[[#This Row],[Join]],TargetSlots[Join],TargetSlots[Join],"Не найдено")&lt;&gt;"Не найдено","Ищем","Не ищем")</f>
        <v>Не ищем</v>
      </c>
      <c r="T356" s="4" t="str">
        <f ca="1">IF(COUNTIFS(OFFSET(D356:$Q356,0,SearchDay-1,,15-SearchDay),"&lt;="&amp; ValidC,OFFSET(D356:$Q356,0,SearchDay-1,,15-SearchDay),"&gt;-1")&gt;0,"Есть слот!","Ничего")</f>
        <v>Ничего</v>
      </c>
      <c r="U356">
        <f ca="1">IF(S356="Ищем",IF(StatTbl[[#This Row],[Доступность]]="Есть слот!",COUNTIFS(OFFSET(D356:$Q356,0,SearchDay-1),"&lt;="&amp; ValidC,OFFSET(D356:$Q356,0,SearchDay-1),"&gt;-1"),0),0)</f>
        <v>0</v>
      </c>
      <c r="V356" t="str" cm="1">
        <f t="array" aca="1" ref="V356" ca="1">IF(StatTbl[[#This Row],[Кол-во слотов]]&gt;0, B356&amp;" "&amp;C356&amp;" "&amp;_xlfn.TEXTJOIN(", ",FALSE,TEXT(_xlfn._xlws.FILTER(OFFSET($D$8:$Q$8,0,SearchDay-1,,15-SearchDay),(OFFSET(D356:Q356,0,SearchDay-1,,15-SearchDay)&gt;-1)*(OFFSET(D356:Q356,0,SearchDay-1,,15-SearchDay)&lt;=ValidC)),"ДД/ММ")),"")</f>
        <v/>
      </c>
      <c r="W356" t="str">
        <f t="shared" si="5"/>
        <v>СЦ УльяновскQR-поставка</v>
      </c>
    </row>
    <row r="357" spans="2:23" x14ac:dyDescent="0.45">
      <c r="B357" s="12" t="s">
        <v>93</v>
      </c>
      <c r="C357" s="12" t="s">
        <v>109</v>
      </c>
      <c r="D357" s="35">
        <v>-1</v>
      </c>
      <c r="E357" s="35">
        <v>-1</v>
      </c>
      <c r="F357" s="35">
        <v>-1</v>
      </c>
      <c r="G357" s="35">
        <v>-1</v>
      </c>
      <c r="H357" s="35">
        <v>-1</v>
      </c>
      <c r="I357" s="35">
        <v>-1</v>
      </c>
      <c r="J357" s="35">
        <v>-1</v>
      </c>
      <c r="K357" s="35">
        <v>-1</v>
      </c>
      <c r="L357" s="35">
        <v>-1</v>
      </c>
      <c r="M357" s="35">
        <v>-1</v>
      </c>
      <c r="N357" s="35">
        <v>-1</v>
      </c>
      <c r="O357" s="35">
        <v>-1</v>
      </c>
      <c r="P357" s="35">
        <v>-1</v>
      </c>
      <c r="Q357" s="35">
        <v>-1</v>
      </c>
      <c r="S357" s="5" t="str">
        <f>IF(_xlfn.XLOOKUP(StatTbl[[#This Row],[Join]],TargetSlots[Join],TargetSlots[Join],"Не найдено")&lt;&gt;"Не найдено","Ищем","Не ищем")</f>
        <v>Не ищем</v>
      </c>
      <c r="T357" s="4" t="str">
        <f ca="1">IF(COUNTIFS(OFFSET(D357:$Q357,0,SearchDay-1,,15-SearchDay),"&lt;="&amp; ValidC,OFFSET(D357:$Q357,0,SearchDay-1,,15-SearchDay),"&gt;-1")&gt;0,"Есть слот!","Ничего")</f>
        <v>Ничего</v>
      </c>
      <c r="U357">
        <f ca="1">IF(S357="Ищем",IF(StatTbl[[#This Row],[Доступность]]="Есть слот!",COUNTIFS(OFFSET(D357:$Q357,0,SearchDay-1),"&lt;="&amp; ValidC,OFFSET(D357:$Q357,0,SearchDay-1),"&gt;-1"),0),0)</f>
        <v>0</v>
      </c>
      <c r="V357" t="str" cm="1">
        <f t="array" aca="1" ref="V357" ca="1">IF(StatTbl[[#This Row],[Кол-во слотов]]&gt;0, B357&amp;" "&amp;C357&amp;" "&amp;_xlfn.TEXTJOIN(", ",FALSE,TEXT(_xlfn._xlws.FILTER(OFFSET($D$8:$Q$8,0,SearchDay-1,,15-SearchDay),(OFFSET(D357:Q357,0,SearchDay-1,,15-SearchDay)&gt;-1)*(OFFSET(D357:Q357,0,SearchDay-1,,15-SearchDay)&lt;=ValidC)),"ДД/ММ")),"")</f>
        <v/>
      </c>
      <c r="W357" t="str">
        <f t="shared" si="5"/>
        <v>СЦ УральскКороба</v>
      </c>
    </row>
    <row r="358" spans="2:23" x14ac:dyDescent="0.45">
      <c r="B358" s="12" t="s">
        <v>93</v>
      </c>
      <c r="C358" s="12" t="s">
        <v>110</v>
      </c>
      <c r="D358" s="35">
        <v>-1</v>
      </c>
      <c r="E358" s="35">
        <v>-1</v>
      </c>
      <c r="F358" s="35">
        <v>-1</v>
      </c>
      <c r="G358" s="35">
        <v>-1</v>
      </c>
      <c r="H358" s="35">
        <v>-1</v>
      </c>
      <c r="I358" s="35">
        <v>-1</v>
      </c>
      <c r="J358" s="35">
        <v>-1</v>
      </c>
      <c r="K358" s="35">
        <v>-1</v>
      </c>
      <c r="L358" s="35">
        <v>-1</v>
      </c>
      <c r="M358" s="35">
        <v>-1</v>
      </c>
      <c r="N358" s="35">
        <v>-1</v>
      </c>
      <c r="O358" s="35">
        <v>-1</v>
      </c>
      <c r="P358" s="35">
        <v>-1</v>
      </c>
      <c r="Q358" s="35">
        <v>-1</v>
      </c>
      <c r="S358" s="5" t="str">
        <f>IF(_xlfn.XLOOKUP(StatTbl[[#This Row],[Join]],TargetSlots[Join],TargetSlots[Join],"Не найдено")&lt;&gt;"Не найдено","Ищем","Не ищем")</f>
        <v>Не ищем</v>
      </c>
      <c r="T358" s="4" t="str">
        <f ca="1">IF(COUNTIFS(OFFSET(D358:$Q358,0,SearchDay-1,,15-SearchDay),"&lt;="&amp; ValidC,OFFSET(D358:$Q358,0,SearchDay-1,,15-SearchDay),"&gt;-1")&gt;0,"Есть слот!","Ничего")</f>
        <v>Ничего</v>
      </c>
      <c r="U358">
        <f ca="1">IF(S358="Ищем",IF(StatTbl[[#This Row],[Доступность]]="Есть слот!",COUNTIFS(OFFSET(D358:$Q358,0,SearchDay-1),"&lt;="&amp; ValidC,OFFSET(D358:$Q358,0,SearchDay-1),"&gt;-1"),0),0)</f>
        <v>0</v>
      </c>
      <c r="V358" t="str" cm="1">
        <f t="array" aca="1" ref="V358" ca="1">IF(StatTbl[[#This Row],[Кол-во слотов]]&gt;0, B358&amp;" "&amp;C358&amp;" "&amp;_xlfn.TEXTJOIN(", ",FALSE,TEXT(_xlfn._xlws.FILTER(OFFSET($D$8:$Q$8,0,SearchDay-1,,15-SearchDay),(OFFSET(D358:Q358,0,SearchDay-1,,15-SearchDay)&gt;-1)*(OFFSET(D358:Q358,0,SearchDay-1,,15-SearchDay)&lt;=ValidC)),"ДД/ММ")),"")</f>
        <v/>
      </c>
      <c r="W358" t="str">
        <f t="shared" si="5"/>
        <v>СЦ УральскМонопаллеты</v>
      </c>
    </row>
    <row r="359" spans="2:23" x14ac:dyDescent="0.45">
      <c r="B359" s="12" t="s">
        <v>93</v>
      </c>
      <c r="C359" s="12" t="s">
        <v>6</v>
      </c>
      <c r="D359" s="35">
        <v>-1</v>
      </c>
      <c r="E359" s="35">
        <v>-1</v>
      </c>
      <c r="F359" s="35">
        <v>-1</v>
      </c>
      <c r="G359" s="35">
        <v>-1</v>
      </c>
      <c r="H359" s="35">
        <v>-1</v>
      </c>
      <c r="I359" s="35">
        <v>-1</v>
      </c>
      <c r="J359" s="35">
        <v>-1</v>
      </c>
      <c r="K359" s="35">
        <v>-1</v>
      </c>
      <c r="L359" s="35">
        <v>-1</v>
      </c>
      <c r="M359" s="35">
        <v>-1</v>
      </c>
      <c r="N359" s="35">
        <v>-1</v>
      </c>
      <c r="O359" s="35">
        <v>-1</v>
      </c>
      <c r="P359" s="35">
        <v>-1</v>
      </c>
      <c r="Q359" s="35">
        <v>-1</v>
      </c>
      <c r="S359" s="5" t="str">
        <f>IF(_xlfn.XLOOKUP(StatTbl[[#This Row],[Join]],TargetSlots[Join],TargetSlots[Join],"Не найдено")&lt;&gt;"Не найдено","Ищем","Не ищем")</f>
        <v>Не ищем</v>
      </c>
      <c r="T359" s="4" t="str">
        <f ca="1">IF(COUNTIFS(OFFSET(D359:$Q359,0,SearchDay-1,,15-SearchDay),"&lt;="&amp; ValidC,OFFSET(D359:$Q359,0,SearchDay-1,,15-SearchDay),"&gt;-1")&gt;0,"Есть слот!","Ничего")</f>
        <v>Ничего</v>
      </c>
      <c r="U359">
        <f ca="1">IF(S359="Ищем",IF(StatTbl[[#This Row],[Доступность]]="Есть слот!",COUNTIFS(OFFSET(D359:$Q359,0,SearchDay-1),"&lt;="&amp; ValidC,OFFSET(D359:$Q359,0,SearchDay-1),"&gt;-1"),0),0)</f>
        <v>0</v>
      </c>
      <c r="V359" t="str" cm="1">
        <f t="array" aca="1" ref="V359" ca="1">IF(StatTbl[[#This Row],[Кол-во слотов]]&gt;0, B359&amp;" "&amp;C359&amp;" "&amp;_xlfn.TEXTJOIN(", ",FALSE,TEXT(_xlfn._xlws.FILTER(OFFSET($D$8:$Q$8,0,SearchDay-1,,15-SearchDay),(OFFSET(D359:Q359,0,SearchDay-1,,15-SearchDay)&gt;-1)*(OFFSET(D359:Q359,0,SearchDay-1,,15-SearchDay)&lt;=ValidC)),"ДД/ММ")),"")</f>
        <v/>
      </c>
      <c r="W359" t="str">
        <f t="shared" si="5"/>
        <v>СЦ УральскСуперсейф</v>
      </c>
    </row>
    <row r="360" spans="2:23" x14ac:dyDescent="0.45">
      <c r="B360" s="12" t="s">
        <v>93</v>
      </c>
      <c r="C360" s="12" t="s">
        <v>111</v>
      </c>
      <c r="D360" s="35">
        <v>-1</v>
      </c>
      <c r="E360" s="35">
        <v>-1</v>
      </c>
      <c r="F360" s="35">
        <v>-1</v>
      </c>
      <c r="G360" s="35">
        <v>-1</v>
      </c>
      <c r="H360" s="35">
        <v>-1</v>
      </c>
      <c r="I360" s="35">
        <v>-1</v>
      </c>
      <c r="J360" s="35">
        <v>-1</v>
      </c>
      <c r="K360" s="35">
        <v>-1</v>
      </c>
      <c r="L360" s="35">
        <v>-1</v>
      </c>
      <c r="M360" s="35">
        <v>-1</v>
      </c>
      <c r="N360" s="35">
        <v>-1</v>
      </c>
      <c r="O360" s="35">
        <v>-1</v>
      </c>
      <c r="P360" s="35">
        <v>-1</v>
      </c>
      <c r="Q360" s="35">
        <v>-1</v>
      </c>
      <c r="S360" s="5" t="str">
        <f>IF(_xlfn.XLOOKUP(StatTbl[[#This Row],[Join]],TargetSlots[Join],TargetSlots[Join],"Не найдено")&lt;&gt;"Не найдено","Ищем","Не ищем")</f>
        <v>Не ищем</v>
      </c>
      <c r="T360" s="4" t="str">
        <f ca="1">IF(COUNTIFS(OFFSET(D360:$Q360,0,SearchDay-1,,15-SearchDay),"&lt;="&amp; ValidC,OFFSET(D360:$Q360,0,SearchDay-1,,15-SearchDay),"&gt;-1")&gt;0,"Есть слот!","Ничего")</f>
        <v>Ничего</v>
      </c>
      <c r="U360">
        <f ca="1">IF(S360="Ищем",IF(StatTbl[[#This Row],[Доступность]]="Есть слот!",COUNTIFS(OFFSET(D360:$Q360,0,SearchDay-1),"&lt;="&amp; ValidC,OFFSET(D360:$Q360,0,SearchDay-1),"&gt;-1"),0),0)</f>
        <v>0</v>
      </c>
      <c r="V360" t="str" cm="1">
        <f t="array" aca="1" ref="V360" ca="1">IF(StatTbl[[#This Row],[Кол-во слотов]]&gt;0, B360&amp;" "&amp;C360&amp;" "&amp;_xlfn.TEXTJOIN(", ",FALSE,TEXT(_xlfn._xlws.FILTER(OFFSET($D$8:$Q$8,0,SearchDay-1,,15-SearchDay),(OFFSET(D360:Q360,0,SearchDay-1,,15-SearchDay)&gt;-1)*(OFFSET(D360:Q360,0,SearchDay-1,,15-SearchDay)&lt;=ValidC)),"ДД/ММ")),"")</f>
        <v/>
      </c>
      <c r="W360" t="str">
        <f t="shared" si="5"/>
        <v>СЦ УральскQR-поставка</v>
      </c>
    </row>
    <row r="361" spans="2:23" x14ac:dyDescent="0.45">
      <c r="B361" s="12" t="s">
        <v>94</v>
      </c>
      <c r="C361" s="12" t="s">
        <v>109</v>
      </c>
      <c r="D361" s="35">
        <v>20</v>
      </c>
      <c r="E361" s="35">
        <v>20</v>
      </c>
      <c r="F361" s="35">
        <v>20</v>
      </c>
      <c r="G361" s="35">
        <v>20</v>
      </c>
      <c r="H361" s="35">
        <v>20</v>
      </c>
      <c r="I361" s="35">
        <v>20</v>
      </c>
      <c r="J361" s="35">
        <v>20</v>
      </c>
      <c r="K361" s="35">
        <v>20</v>
      </c>
      <c r="L361" s="35">
        <v>20</v>
      </c>
      <c r="M361" s="35">
        <v>20</v>
      </c>
      <c r="N361" s="35">
        <v>20</v>
      </c>
      <c r="O361" s="35">
        <v>20</v>
      </c>
      <c r="P361" s="35">
        <v>20</v>
      </c>
      <c r="Q361" s="35">
        <v>-1</v>
      </c>
      <c r="S361" s="5" t="str">
        <f>IF(_xlfn.XLOOKUP(StatTbl[[#This Row],[Join]],TargetSlots[Join],TargetSlots[Join],"Не найдено")&lt;&gt;"Не найдено","Ищем","Не ищем")</f>
        <v>Не ищем</v>
      </c>
      <c r="T361" s="4" t="str">
        <f ca="1">IF(COUNTIFS(OFFSET(D361:$Q361,0,SearchDay-1,,15-SearchDay),"&lt;="&amp; ValidC,OFFSET(D361:$Q361,0,SearchDay-1,,15-SearchDay),"&gt;-1")&gt;0,"Есть слот!","Ничего")</f>
        <v>Ничего</v>
      </c>
      <c r="U361">
        <f ca="1">IF(S361="Ищем",IF(StatTbl[[#This Row],[Доступность]]="Есть слот!",COUNTIFS(OFFSET(D361:$Q361,0,SearchDay-1),"&lt;="&amp; ValidC,OFFSET(D361:$Q361,0,SearchDay-1),"&gt;-1"),0),0)</f>
        <v>0</v>
      </c>
      <c r="V361" t="str" cm="1">
        <f t="array" aca="1" ref="V361" ca="1">IF(StatTbl[[#This Row],[Кол-во слотов]]&gt;0, B361&amp;" "&amp;C361&amp;" "&amp;_xlfn.TEXTJOIN(", ",FALSE,TEXT(_xlfn._xlws.FILTER(OFFSET($D$8:$Q$8,0,SearchDay-1,,15-SearchDay),(OFFSET(D361:Q361,0,SearchDay-1,,15-SearchDay)&gt;-1)*(OFFSET(D361:Q361,0,SearchDay-1,,15-SearchDay)&lt;=ValidC)),"ДД/ММ")),"")</f>
        <v/>
      </c>
      <c r="W361" t="str">
        <f t="shared" si="5"/>
        <v>СЦ УфаКороба</v>
      </c>
    </row>
    <row r="362" spans="2:23" x14ac:dyDescent="0.45">
      <c r="B362" s="12" t="s">
        <v>94</v>
      </c>
      <c r="C362" s="12" t="s">
        <v>110</v>
      </c>
      <c r="D362" s="35">
        <v>-1</v>
      </c>
      <c r="E362" s="35">
        <v>-1</v>
      </c>
      <c r="F362" s="35">
        <v>-1</v>
      </c>
      <c r="G362" s="35">
        <v>-1</v>
      </c>
      <c r="H362" s="35">
        <v>-1</v>
      </c>
      <c r="I362" s="35">
        <v>-1</v>
      </c>
      <c r="J362" s="35">
        <v>-1</v>
      </c>
      <c r="K362" s="35">
        <v>-1</v>
      </c>
      <c r="L362" s="35">
        <v>-1</v>
      </c>
      <c r="M362" s="35">
        <v>-1</v>
      </c>
      <c r="N362" s="35">
        <v>-1</v>
      </c>
      <c r="O362" s="35">
        <v>-1</v>
      </c>
      <c r="P362" s="35">
        <v>-1</v>
      </c>
      <c r="Q362" s="35">
        <v>-1</v>
      </c>
      <c r="S362" s="5" t="str">
        <f>IF(_xlfn.XLOOKUP(StatTbl[[#This Row],[Join]],TargetSlots[Join],TargetSlots[Join],"Не найдено")&lt;&gt;"Не найдено","Ищем","Не ищем")</f>
        <v>Не ищем</v>
      </c>
      <c r="T362" s="4" t="str">
        <f ca="1">IF(COUNTIFS(OFFSET(D362:$Q362,0,SearchDay-1,,15-SearchDay),"&lt;="&amp; ValidC,OFFSET(D362:$Q362,0,SearchDay-1,,15-SearchDay),"&gt;-1")&gt;0,"Есть слот!","Ничего")</f>
        <v>Ничего</v>
      </c>
      <c r="U362">
        <f ca="1">IF(S362="Ищем",IF(StatTbl[[#This Row],[Доступность]]="Есть слот!",COUNTIFS(OFFSET(D362:$Q362,0,SearchDay-1),"&lt;="&amp; ValidC,OFFSET(D362:$Q362,0,SearchDay-1),"&gt;-1"),0),0)</f>
        <v>0</v>
      </c>
      <c r="V362" t="str" cm="1">
        <f t="array" aca="1" ref="V362" ca="1">IF(StatTbl[[#This Row],[Кол-во слотов]]&gt;0, B362&amp;" "&amp;C362&amp;" "&amp;_xlfn.TEXTJOIN(", ",FALSE,TEXT(_xlfn._xlws.FILTER(OFFSET($D$8:$Q$8,0,SearchDay-1,,15-SearchDay),(OFFSET(D362:Q362,0,SearchDay-1,,15-SearchDay)&gt;-1)*(OFFSET(D362:Q362,0,SearchDay-1,,15-SearchDay)&lt;=ValidC)),"ДД/ММ")),"")</f>
        <v/>
      </c>
      <c r="W362" t="str">
        <f t="shared" si="5"/>
        <v>СЦ УфаМонопаллеты</v>
      </c>
    </row>
    <row r="363" spans="2:23" x14ac:dyDescent="0.45">
      <c r="B363" s="12" t="s">
        <v>94</v>
      </c>
      <c r="C363" s="12" t="s">
        <v>6</v>
      </c>
      <c r="D363" s="35">
        <v>-1</v>
      </c>
      <c r="E363" s="35">
        <v>-1</v>
      </c>
      <c r="F363" s="35">
        <v>-1</v>
      </c>
      <c r="G363" s="35">
        <v>-1</v>
      </c>
      <c r="H363" s="35">
        <v>-1</v>
      </c>
      <c r="I363" s="35">
        <v>-1</v>
      </c>
      <c r="J363" s="35">
        <v>-1</v>
      </c>
      <c r="K363" s="35">
        <v>-1</v>
      </c>
      <c r="L363" s="35">
        <v>-1</v>
      </c>
      <c r="M363" s="35">
        <v>-1</v>
      </c>
      <c r="N363" s="35">
        <v>-1</v>
      </c>
      <c r="O363" s="35">
        <v>-1</v>
      </c>
      <c r="P363" s="35">
        <v>-1</v>
      </c>
      <c r="Q363" s="35">
        <v>-1</v>
      </c>
      <c r="S363" s="5" t="str">
        <f>IF(_xlfn.XLOOKUP(StatTbl[[#This Row],[Join]],TargetSlots[Join],TargetSlots[Join],"Не найдено")&lt;&gt;"Не найдено","Ищем","Не ищем")</f>
        <v>Не ищем</v>
      </c>
      <c r="T363" s="4" t="str">
        <f ca="1">IF(COUNTIFS(OFFSET(D363:$Q363,0,SearchDay-1,,15-SearchDay),"&lt;="&amp; ValidC,OFFSET(D363:$Q363,0,SearchDay-1,,15-SearchDay),"&gt;-1")&gt;0,"Есть слот!","Ничего")</f>
        <v>Ничего</v>
      </c>
      <c r="U363">
        <f ca="1">IF(S363="Ищем",IF(StatTbl[[#This Row],[Доступность]]="Есть слот!",COUNTIFS(OFFSET(D363:$Q363,0,SearchDay-1),"&lt;="&amp; ValidC,OFFSET(D363:$Q363,0,SearchDay-1),"&gt;-1"),0),0)</f>
        <v>0</v>
      </c>
      <c r="V363" t="str" cm="1">
        <f t="array" aca="1" ref="V363" ca="1">IF(StatTbl[[#This Row],[Кол-во слотов]]&gt;0, B363&amp;" "&amp;C363&amp;" "&amp;_xlfn.TEXTJOIN(", ",FALSE,TEXT(_xlfn._xlws.FILTER(OFFSET($D$8:$Q$8,0,SearchDay-1,,15-SearchDay),(OFFSET(D363:Q363,0,SearchDay-1,,15-SearchDay)&gt;-1)*(OFFSET(D363:Q363,0,SearchDay-1,,15-SearchDay)&lt;=ValidC)),"ДД/ММ")),"")</f>
        <v/>
      </c>
      <c r="W363" t="str">
        <f t="shared" si="5"/>
        <v>СЦ УфаСуперсейф</v>
      </c>
    </row>
    <row r="364" spans="2:23" x14ac:dyDescent="0.45">
      <c r="B364" s="12" t="s">
        <v>94</v>
      </c>
      <c r="C364" s="12" t="s">
        <v>111</v>
      </c>
      <c r="D364" s="35">
        <v>20</v>
      </c>
      <c r="E364" s="35">
        <v>20</v>
      </c>
      <c r="F364" s="35">
        <v>20</v>
      </c>
      <c r="G364" s="35">
        <v>20</v>
      </c>
      <c r="H364" s="35">
        <v>20</v>
      </c>
      <c r="I364" s="35">
        <v>20</v>
      </c>
      <c r="J364" s="35">
        <v>20</v>
      </c>
      <c r="K364" s="35">
        <v>20</v>
      </c>
      <c r="L364" s="35">
        <v>20</v>
      </c>
      <c r="M364" s="35">
        <v>20</v>
      </c>
      <c r="N364" s="35">
        <v>20</v>
      </c>
      <c r="O364" s="35">
        <v>-1</v>
      </c>
      <c r="P364" s="35">
        <v>-1</v>
      </c>
      <c r="Q364" s="35">
        <v>-1</v>
      </c>
      <c r="S364" s="5" t="str">
        <f>IF(_xlfn.XLOOKUP(StatTbl[[#This Row],[Join]],TargetSlots[Join],TargetSlots[Join],"Не найдено")&lt;&gt;"Не найдено","Ищем","Не ищем")</f>
        <v>Не ищем</v>
      </c>
      <c r="T364" s="4" t="str">
        <f ca="1">IF(COUNTIFS(OFFSET(D364:$Q364,0,SearchDay-1,,15-SearchDay),"&lt;="&amp; ValidC,OFFSET(D364:$Q364,0,SearchDay-1,,15-SearchDay),"&gt;-1")&gt;0,"Есть слот!","Ничего")</f>
        <v>Ничего</v>
      </c>
      <c r="U364">
        <f ca="1">IF(S364="Ищем",IF(StatTbl[[#This Row],[Доступность]]="Есть слот!",COUNTIFS(OFFSET(D364:$Q364,0,SearchDay-1),"&lt;="&amp; ValidC,OFFSET(D364:$Q364,0,SearchDay-1),"&gt;-1"),0),0)</f>
        <v>0</v>
      </c>
      <c r="V364" t="str" cm="1">
        <f t="array" aca="1" ref="V364" ca="1">IF(StatTbl[[#This Row],[Кол-во слотов]]&gt;0, B364&amp;" "&amp;C364&amp;" "&amp;_xlfn.TEXTJOIN(", ",FALSE,TEXT(_xlfn._xlws.FILTER(OFFSET($D$8:$Q$8,0,SearchDay-1,,15-SearchDay),(OFFSET(D364:Q364,0,SearchDay-1,,15-SearchDay)&gt;-1)*(OFFSET(D364:Q364,0,SearchDay-1,,15-SearchDay)&lt;=ValidC)),"ДД/ММ")),"")</f>
        <v/>
      </c>
      <c r="W364" t="str">
        <f t="shared" si="5"/>
        <v>СЦ УфаQR-поставка</v>
      </c>
    </row>
    <row r="365" spans="2:23" x14ac:dyDescent="0.45">
      <c r="B365" s="12" t="s">
        <v>95</v>
      </c>
      <c r="C365" s="12" t="s">
        <v>109</v>
      </c>
      <c r="D365" s="35">
        <v>0</v>
      </c>
      <c r="E365" s="35">
        <v>20</v>
      </c>
      <c r="F365" s="35">
        <v>0</v>
      </c>
      <c r="G365" s="35">
        <v>0</v>
      </c>
      <c r="H365" s="35">
        <v>0</v>
      </c>
      <c r="I365" s="35">
        <v>0</v>
      </c>
      <c r="J365" s="35">
        <v>0</v>
      </c>
      <c r="K365" s="35">
        <v>0</v>
      </c>
      <c r="L365" s="35">
        <v>0</v>
      </c>
      <c r="M365" s="35">
        <v>0</v>
      </c>
      <c r="N365" s="35">
        <v>20</v>
      </c>
      <c r="O365" s="35">
        <v>0</v>
      </c>
      <c r="P365" s="35">
        <v>20</v>
      </c>
      <c r="Q365" s="35">
        <v>-1</v>
      </c>
      <c r="S365" s="5" t="str">
        <f>IF(_xlfn.XLOOKUP(StatTbl[[#This Row],[Join]],TargetSlots[Join],TargetSlots[Join],"Не найдено")&lt;&gt;"Не найдено","Ищем","Не ищем")</f>
        <v>Не ищем</v>
      </c>
      <c r="T365" s="4" t="str">
        <f ca="1">IF(COUNTIFS(OFFSET(D365:$Q365,0,SearchDay-1,,15-SearchDay),"&lt;="&amp; ValidC,OFFSET(D365:$Q365,0,SearchDay-1,,15-SearchDay),"&gt;-1")&gt;0,"Есть слот!","Ничего")</f>
        <v>Есть слот!</v>
      </c>
      <c r="U365">
        <f ca="1">IF(S365="Ищем",IF(StatTbl[[#This Row],[Доступность]]="Есть слот!",COUNTIFS(OFFSET(D365:$Q365,0,SearchDay-1),"&lt;="&amp; ValidC,OFFSET(D365:$Q365,0,SearchDay-1),"&gt;-1"),0),0)</f>
        <v>0</v>
      </c>
      <c r="V365" t="str" cm="1">
        <f t="array" aca="1" ref="V365" ca="1">IF(StatTbl[[#This Row],[Кол-во слотов]]&gt;0, B365&amp;" "&amp;C365&amp;" "&amp;_xlfn.TEXTJOIN(", ",FALSE,TEXT(_xlfn._xlws.FILTER(OFFSET($D$8:$Q$8,0,SearchDay-1,,15-SearchDay),(OFFSET(D365:Q365,0,SearchDay-1,,15-SearchDay)&gt;-1)*(OFFSET(D365:Q365,0,SearchDay-1,,15-SearchDay)&lt;=ValidC)),"ДД/ММ")),"")</f>
        <v/>
      </c>
      <c r="W365" t="str">
        <f t="shared" si="5"/>
        <v>СЦ ХабаровскКороба</v>
      </c>
    </row>
    <row r="366" spans="2:23" x14ac:dyDescent="0.45">
      <c r="B366" s="12" t="s">
        <v>95</v>
      </c>
      <c r="C366" s="12" t="s">
        <v>110</v>
      </c>
      <c r="D366" s="35">
        <v>0</v>
      </c>
      <c r="E366" s="35">
        <v>0</v>
      </c>
      <c r="F366" s="35">
        <v>0</v>
      </c>
      <c r="G366" s="35">
        <v>0</v>
      </c>
      <c r="H366" s="35">
        <v>20</v>
      </c>
      <c r="I366" s="35">
        <v>20</v>
      </c>
      <c r="J366" s="35">
        <v>20</v>
      </c>
      <c r="K366" s="35">
        <v>20</v>
      </c>
      <c r="L366" s="35">
        <v>20</v>
      </c>
      <c r="M366" s="35">
        <v>20</v>
      </c>
      <c r="N366" s="35">
        <v>20</v>
      </c>
      <c r="O366" s="35">
        <v>0</v>
      </c>
      <c r="P366" s="35">
        <v>0</v>
      </c>
      <c r="Q366" s="35">
        <v>-1</v>
      </c>
      <c r="S366" s="5" t="str">
        <f>IF(_xlfn.XLOOKUP(StatTbl[[#This Row],[Join]],TargetSlots[Join],TargetSlots[Join],"Не найдено")&lt;&gt;"Не найдено","Ищем","Не ищем")</f>
        <v>Не ищем</v>
      </c>
      <c r="T366" s="4" t="str">
        <f ca="1">IF(COUNTIFS(OFFSET(D366:$Q366,0,SearchDay-1,,15-SearchDay),"&lt;="&amp; ValidC,OFFSET(D366:$Q366,0,SearchDay-1,,15-SearchDay),"&gt;-1")&gt;0,"Есть слот!","Ничего")</f>
        <v>Есть слот!</v>
      </c>
      <c r="U366">
        <f ca="1">IF(S366="Ищем",IF(StatTbl[[#This Row],[Доступность]]="Есть слот!",COUNTIFS(OFFSET(D366:$Q366,0,SearchDay-1),"&lt;="&amp; ValidC,OFFSET(D366:$Q366,0,SearchDay-1),"&gt;-1"),0),0)</f>
        <v>0</v>
      </c>
      <c r="V366" t="str" cm="1">
        <f t="array" aca="1" ref="V366" ca="1">IF(StatTbl[[#This Row],[Кол-во слотов]]&gt;0, B366&amp;" "&amp;C366&amp;" "&amp;_xlfn.TEXTJOIN(", ",FALSE,TEXT(_xlfn._xlws.FILTER(OFFSET($D$8:$Q$8,0,SearchDay-1,,15-SearchDay),(OFFSET(D366:Q366,0,SearchDay-1,,15-SearchDay)&gt;-1)*(OFFSET(D366:Q366,0,SearchDay-1,,15-SearchDay)&lt;=ValidC)),"ДД/ММ")),"")</f>
        <v/>
      </c>
      <c r="W366" t="str">
        <f t="shared" si="5"/>
        <v>СЦ ХабаровскМонопаллеты</v>
      </c>
    </row>
    <row r="367" spans="2:23" x14ac:dyDescent="0.45">
      <c r="B367" s="12" t="s">
        <v>95</v>
      </c>
      <c r="C367" s="12" t="s">
        <v>6</v>
      </c>
      <c r="D367" s="35">
        <v>-1</v>
      </c>
      <c r="E367" s="35">
        <v>-1</v>
      </c>
      <c r="F367" s="35">
        <v>-1</v>
      </c>
      <c r="G367" s="35">
        <v>-1</v>
      </c>
      <c r="H367" s="35">
        <v>-1</v>
      </c>
      <c r="I367" s="35">
        <v>-1</v>
      </c>
      <c r="J367" s="35">
        <v>-1</v>
      </c>
      <c r="K367" s="35">
        <v>-1</v>
      </c>
      <c r="L367" s="35">
        <v>-1</v>
      </c>
      <c r="M367" s="35">
        <v>-1</v>
      </c>
      <c r="N367" s="35">
        <v>-1</v>
      </c>
      <c r="O367" s="35">
        <v>-1</v>
      </c>
      <c r="P367" s="35">
        <v>-1</v>
      </c>
      <c r="Q367" s="35">
        <v>-1</v>
      </c>
      <c r="S367" s="5" t="str">
        <f>IF(_xlfn.XLOOKUP(StatTbl[[#This Row],[Join]],TargetSlots[Join],TargetSlots[Join],"Не найдено")&lt;&gt;"Не найдено","Ищем","Не ищем")</f>
        <v>Не ищем</v>
      </c>
      <c r="T367" s="4" t="str">
        <f ca="1">IF(COUNTIFS(OFFSET(D367:$Q367,0,SearchDay-1,,15-SearchDay),"&lt;="&amp; ValidC,OFFSET(D367:$Q367,0,SearchDay-1,,15-SearchDay),"&gt;-1")&gt;0,"Есть слот!","Ничего")</f>
        <v>Ничего</v>
      </c>
      <c r="U367">
        <f ca="1">IF(S367="Ищем",IF(StatTbl[[#This Row],[Доступность]]="Есть слот!",COUNTIFS(OFFSET(D367:$Q367,0,SearchDay-1),"&lt;="&amp; ValidC,OFFSET(D367:$Q367,0,SearchDay-1),"&gt;-1"),0),0)</f>
        <v>0</v>
      </c>
      <c r="V367" t="str" cm="1">
        <f t="array" aca="1" ref="V367" ca="1">IF(StatTbl[[#This Row],[Кол-во слотов]]&gt;0, B367&amp;" "&amp;C367&amp;" "&amp;_xlfn.TEXTJOIN(", ",FALSE,TEXT(_xlfn._xlws.FILTER(OFFSET($D$8:$Q$8,0,SearchDay-1,,15-SearchDay),(OFFSET(D367:Q367,0,SearchDay-1,,15-SearchDay)&gt;-1)*(OFFSET(D367:Q367,0,SearchDay-1,,15-SearchDay)&lt;=ValidC)),"ДД/ММ")),"")</f>
        <v/>
      </c>
      <c r="W367" t="str">
        <f t="shared" si="5"/>
        <v>СЦ ХабаровскСуперсейф</v>
      </c>
    </row>
    <row r="368" spans="2:23" x14ac:dyDescent="0.45">
      <c r="B368" s="12" t="s">
        <v>95</v>
      </c>
      <c r="C368" s="12" t="s">
        <v>111</v>
      </c>
      <c r="D368" s="35">
        <v>20</v>
      </c>
      <c r="E368" s="35">
        <v>20</v>
      </c>
      <c r="F368" s="35">
        <v>20</v>
      </c>
      <c r="G368" s="35">
        <v>20</v>
      </c>
      <c r="H368" s="35">
        <v>0</v>
      </c>
      <c r="I368" s="35">
        <v>0</v>
      </c>
      <c r="J368" s="35">
        <v>0</v>
      </c>
      <c r="K368" s="35">
        <v>0</v>
      </c>
      <c r="L368" s="35">
        <v>0</v>
      </c>
      <c r="M368" s="35">
        <v>0</v>
      </c>
      <c r="N368" s="35">
        <v>0</v>
      </c>
      <c r="O368" s="35">
        <v>-1</v>
      </c>
      <c r="P368" s="35">
        <v>-1</v>
      </c>
      <c r="Q368" s="35">
        <v>-1</v>
      </c>
      <c r="S368" s="5" t="str">
        <f>IF(_xlfn.XLOOKUP(StatTbl[[#This Row],[Join]],TargetSlots[Join],TargetSlots[Join],"Не найдено")&lt;&gt;"Не найдено","Ищем","Не ищем")</f>
        <v>Не ищем</v>
      </c>
      <c r="T368" s="4" t="str">
        <f ca="1">IF(COUNTIFS(OFFSET(D368:$Q368,0,SearchDay-1,,15-SearchDay),"&lt;="&amp; ValidC,OFFSET(D368:$Q368,0,SearchDay-1,,15-SearchDay),"&gt;-1")&gt;0,"Есть слот!","Ничего")</f>
        <v>Есть слот!</v>
      </c>
      <c r="U368">
        <f ca="1">IF(S368="Ищем",IF(StatTbl[[#This Row],[Доступность]]="Есть слот!",COUNTIFS(OFFSET(D368:$Q368,0,SearchDay-1),"&lt;="&amp; ValidC,OFFSET(D368:$Q368,0,SearchDay-1),"&gt;-1"),0),0)</f>
        <v>0</v>
      </c>
      <c r="V368" t="str" cm="1">
        <f t="array" aca="1" ref="V368" ca="1">IF(StatTbl[[#This Row],[Кол-во слотов]]&gt;0, B368&amp;" "&amp;C368&amp;" "&amp;_xlfn.TEXTJOIN(", ",FALSE,TEXT(_xlfn._xlws.FILTER(OFFSET($D$8:$Q$8,0,SearchDay-1,,15-SearchDay),(OFFSET(D368:Q368,0,SearchDay-1,,15-SearchDay)&gt;-1)*(OFFSET(D368:Q368,0,SearchDay-1,,15-SearchDay)&lt;=ValidC)),"ДД/ММ")),"")</f>
        <v/>
      </c>
      <c r="W368" t="str">
        <f t="shared" si="5"/>
        <v>СЦ ХабаровскQR-поставка</v>
      </c>
    </row>
    <row r="369" spans="2:23" x14ac:dyDescent="0.45">
      <c r="B369" s="12" t="s">
        <v>96</v>
      </c>
      <c r="C369" s="12" t="s">
        <v>109</v>
      </c>
      <c r="D369" s="35">
        <v>-1</v>
      </c>
      <c r="E369" s="35">
        <v>-1</v>
      </c>
      <c r="F369" s="35">
        <v>-1</v>
      </c>
      <c r="G369" s="35">
        <v>-1</v>
      </c>
      <c r="H369" s="35">
        <v>-1</v>
      </c>
      <c r="I369" s="35">
        <v>-1</v>
      </c>
      <c r="J369" s="35">
        <v>-1</v>
      </c>
      <c r="K369" s="35">
        <v>-1</v>
      </c>
      <c r="L369" s="35">
        <v>-1</v>
      </c>
      <c r="M369" s="35">
        <v>-1</v>
      </c>
      <c r="N369" s="35">
        <v>-1</v>
      </c>
      <c r="O369" s="35">
        <v>-1</v>
      </c>
      <c r="P369" s="35">
        <v>-1</v>
      </c>
      <c r="Q369" s="35">
        <v>-1</v>
      </c>
      <c r="S369" s="5" t="str">
        <f>IF(_xlfn.XLOOKUP(StatTbl[[#This Row],[Join]],TargetSlots[Join],TargetSlots[Join],"Не найдено")&lt;&gt;"Не найдено","Ищем","Не ищем")</f>
        <v>Не ищем</v>
      </c>
      <c r="T369" s="4" t="str">
        <f ca="1">IF(COUNTIFS(OFFSET(D369:$Q369,0,SearchDay-1,,15-SearchDay),"&lt;="&amp; ValidC,OFFSET(D369:$Q369,0,SearchDay-1,,15-SearchDay),"&gt;-1")&gt;0,"Есть слот!","Ничего")</f>
        <v>Ничего</v>
      </c>
      <c r="U369">
        <f ca="1">IF(S369="Ищем",IF(StatTbl[[#This Row],[Доступность]]="Есть слот!",COUNTIFS(OFFSET(D369:$Q369,0,SearchDay-1),"&lt;="&amp; ValidC,OFFSET(D369:$Q369,0,SearchDay-1),"&gt;-1"),0),0)</f>
        <v>0</v>
      </c>
      <c r="V369" t="str" cm="1">
        <f t="array" aca="1" ref="V369" ca="1">IF(StatTbl[[#This Row],[Кол-во слотов]]&gt;0, B369&amp;" "&amp;C369&amp;" "&amp;_xlfn.TEXTJOIN(", ",FALSE,TEXT(_xlfn._xlws.FILTER(OFFSET($D$8:$Q$8,0,SearchDay-1,,15-SearchDay),(OFFSET(D369:Q369,0,SearchDay-1,,15-SearchDay)&gt;-1)*(OFFSET(D369:Q369,0,SearchDay-1,,15-SearchDay)&lt;=ValidC)),"ДД/ММ")),"")</f>
        <v/>
      </c>
      <c r="W369" t="str">
        <f t="shared" si="5"/>
        <v>СЦ Чебоксары 2Короба</v>
      </c>
    </row>
    <row r="370" spans="2:23" x14ac:dyDescent="0.45">
      <c r="B370" s="12" t="s">
        <v>96</v>
      </c>
      <c r="C370" s="12" t="s">
        <v>110</v>
      </c>
      <c r="D370" s="35">
        <v>-1</v>
      </c>
      <c r="E370" s="35">
        <v>-1</v>
      </c>
      <c r="F370" s="35">
        <v>-1</v>
      </c>
      <c r="G370" s="35">
        <v>-1</v>
      </c>
      <c r="H370" s="35">
        <v>-1</v>
      </c>
      <c r="I370" s="35">
        <v>-1</v>
      </c>
      <c r="J370" s="35">
        <v>-1</v>
      </c>
      <c r="K370" s="35">
        <v>-1</v>
      </c>
      <c r="L370" s="35">
        <v>-1</v>
      </c>
      <c r="M370" s="35">
        <v>-1</v>
      </c>
      <c r="N370" s="35">
        <v>-1</v>
      </c>
      <c r="O370" s="35">
        <v>-1</v>
      </c>
      <c r="P370" s="35">
        <v>-1</v>
      </c>
      <c r="Q370" s="35">
        <v>-1</v>
      </c>
      <c r="S370" s="5" t="str">
        <f>IF(_xlfn.XLOOKUP(StatTbl[[#This Row],[Join]],TargetSlots[Join],TargetSlots[Join],"Не найдено")&lt;&gt;"Не найдено","Ищем","Не ищем")</f>
        <v>Не ищем</v>
      </c>
      <c r="T370" s="4" t="str">
        <f ca="1">IF(COUNTIFS(OFFSET(D370:$Q370,0,SearchDay-1,,15-SearchDay),"&lt;="&amp; ValidC,OFFSET(D370:$Q370,0,SearchDay-1,,15-SearchDay),"&gt;-1")&gt;0,"Есть слот!","Ничего")</f>
        <v>Ничего</v>
      </c>
      <c r="U370">
        <f ca="1">IF(S370="Ищем",IF(StatTbl[[#This Row],[Доступность]]="Есть слот!",COUNTIFS(OFFSET(D370:$Q370,0,SearchDay-1),"&lt;="&amp; ValidC,OFFSET(D370:$Q370,0,SearchDay-1),"&gt;-1"),0),0)</f>
        <v>0</v>
      </c>
      <c r="V370" t="str" cm="1">
        <f t="array" aca="1" ref="V370" ca="1">IF(StatTbl[[#This Row],[Кол-во слотов]]&gt;0, B370&amp;" "&amp;C370&amp;" "&amp;_xlfn.TEXTJOIN(", ",FALSE,TEXT(_xlfn._xlws.FILTER(OFFSET($D$8:$Q$8,0,SearchDay-1,,15-SearchDay),(OFFSET(D370:Q370,0,SearchDay-1,,15-SearchDay)&gt;-1)*(OFFSET(D370:Q370,0,SearchDay-1,,15-SearchDay)&lt;=ValidC)),"ДД/ММ")),"")</f>
        <v/>
      </c>
      <c r="W370" t="str">
        <f t="shared" si="5"/>
        <v>СЦ Чебоксары 2Монопаллеты</v>
      </c>
    </row>
    <row r="371" spans="2:23" x14ac:dyDescent="0.45">
      <c r="B371" s="12" t="s">
        <v>96</v>
      </c>
      <c r="C371" s="12" t="s">
        <v>6</v>
      </c>
      <c r="D371" s="35">
        <v>-1</v>
      </c>
      <c r="E371" s="35">
        <v>-1</v>
      </c>
      <c r="F371" s="35">
        <v>-1</v>
      </c>
      <c r="G371" s="35">
        <v>-1</v>
      </c>
      <c r="H371" s="35">
        <v>-1</v>
      </c>
      <c r="I371" s="35">
        <v>-1</v>
      </c>
      <c r="J371" s="35">
        <v>-1</v>
      </c>
      <c r="K371" s="35">
        <v>-1</v>
      </c>
      <c r="L371" s="35">
        <v>-1</v>
      </c>
      <c r="M371" s="35">
        <v>-1</v>
      </c>
      <c r="N371" s="35">
        <v>-1</v>
      </c>
      <c r="O371" s="35">
        <v>-1</v>
      </c>
      <c r="P371" s="35">
        <v>-1</v>
      </c>
      <c r="Q371" s="35">
        <v>-1</v>
      </c>
      <c r="S371" s="5" t="str">
        <f>IF(_xlfn.XLOOKUP(StatTbl[[#This Row],[Join]],TargetSlots[Join],TargetSlots[Join],"Не найдено")&lt;&gt;"Не найдено","Ищем","Не ищем")</f>
        <v>Не ищем</v>
      </c>
      <c r="T371" s="4" t="str">
        <f ca="1">IF(COUNTIFS(OFFSET(D371:$Q371,0,SearchDay-1,,15-SearchDay),"&lt;="&amp; ValidC,OFFSET(D371:$Q371,0,SearchDay-1,,15-SearchDay),"&gt;-1")&gt;0,"Есть слот!","Ничего")</f>
        <v>Ничего</v>
      </c>
      <c r="U371">
        <f ca="1">IF(S371="Ищем",IF(StatTbl[[#This Row],[Доступность]]="Есть слот!",COUNTIFS(OFFSET(D371:$Q371,0,SearchDay-1),"&lt;="&amp; ValidC,OFFSET(D371:$Q371,0,SearchDay-1),"&gt;-1"),0),0)</f>
        <v>0</v>
      </c>
      <c r="V371" t="str" cm="1">
        <f t="array" aca="1" ref="V371" ca="1">IF(StatTbl[[#This Row],[Кол-во слотов]]&gt;0, B371&amp;" "&amp;C371&amp;" "&amp;_xlfn.TEXTJOIN(", ",FALSE,TEXT(_xlfn._xlws.FILTER(OFFSET($D$8:$Q$8,0,SearchDay-1,,15-SearchDay),(OFFSET(D371:Q371,0,SearchDay-1,,15-SearchDay)&gt;-1)*(OFFSET(D371:Q371,0,SearchDay-1,,15-SearchDay)&lt;=ValidC)),"ДД/ММ")),"")</f>
        <v/>
      </c>
      <c r="W371" t="str">
        <f t="shared" si="5"/>
        <v>СЦ Чебоксары 2Суперсейф</v>
      </c>
    </row>
    <row r="372" spans="2:23" x14ac:dyDescent="0.45">
      <c r="B372" s="12" t="s">
        <v>96</v>
      </c>
      <c r="C372" s="12" t="s">
        <v>111</v>
      </c>
      <c r="D372" s="35">
        <v>-1</v>
      </c>
      <c r="E372" s="35">
        <v>-1</v>
      </c>
      <c r="F372" s="35">
        <v>-1</v>
      </c>
      <c r="G372" s="35">
        <v>-1</v>
      </c>
      <c r="H372" s="35">
        <v>-1</v>
      </c>
      <c r="I372" s="35">
        <v>-1</v>
      </c>
      <c r="J372" s="35">
        <v>-1</v>
      </c>
      <c r="K372" s="35">
        <v>-1</v>
      </c>
      <c r="L372" s="35">
        <v>-1</v>
      </c>
      <c r="M372" s="35">
        <v>-1</v>
      </c>
      <c r="N372" s="35">
        <v>-1</v>
      </c>
      <c r="O372" s="35">
        <v>-1</v>
      </c>
      <c r="P372" s="35">
        <v>-1</v>
      </c>
      <c r="Q372" s="35">
        <v>-1</v>
      </c>
      <c r="S372" s="5" t="str">
        <f>IF(_xlfn.XLOOKUP(StatTbl[[#This Row],[Join]],TargetSlots[Join],TargetSlots[Join],"Не найдено")&lt;&gt;"Не найдено","Ищем","Не ищем")</f>
        <v>Не ищем</v>
      </c>
      <c r="T372" s="4" t="str">
        <f ca="1">IF(COUNTIFS(OFFSET(D372:$Q372,0,SearchDay-1,,15-SearchDay),"&lt;="&amp; ValidC,OFFSET(D372:$Q372,0,SearchDay-1,,15-SearchDay),"&gt;-1")&gt;0,"Есть слот!","Ничего")</f>
        <v>Ничего</v>
      </c>
      <c r="U372">
        <f ca="1">IF(S372="Ищем",IF(StatTbl[[#This Row],[Доступность]]="Есть слот!",COUNTIFS(OFFSET(D372:$Q372,0,SearchDay-1),"&lt;="&amp; ValidC,OFFSET(D372:$Q372,0,SearchDay-1),"&gt;-1"),0),0)</f>
        <v>0</v>
      </c>
      <c r="V372" t="str" cm="1">
        <f t="array" aca="1" ref="V372" ca="1">IF(StatTbl[[#This Row],[Кол-во слотов]]&gt;0, B372&amp;" "&amp;C372&amp;" "&amp;_xlfn.TEXTJOIN(", ",FALSE,TEXT(_xlfn._xlws.FILTER(OFFSET($D$8:$Q$8,0,SearchDay-1,,15-SearchDay),(OFFSET(D372:Q372,0,SearchDay-1,,15-SearchDay)&gt;-1)*(OFFSET(D372:Q372,0,SearchDay-1,,15-SearchDay)&lt;=ValidC)),"ДД/ММ")),"")</f>
        <v/>
      </c>
      <c r="W372" t="str">
        <f t="shared" si="5"/>
        <v>СЦ Чебоксары 2QR-поставка</v>
      </c>
    </row>
    <row r="373" spans="2:23" x14ac:dyDescent="0.45">
      <c r="B373" s="12" t="s">
        <v>97</v>
      </c>
      <c r="C373" s="12" t="s">
        <v>109</v>
      </c>
      <c r="D373" s="35">
        <v>10</v>
      </c>
      <c r="E373" s="35">
        <v>20</v>
      </c>
      <c r="F373" s="35">
        <v>10</v>
      </c>
      <c r="G373" s="35">
        <v>10</v>
      </c>
      <c r="H373" s="35">
        <v>10</v>
      </c>
      <c r="I373" s="35">
        <v>20</v>
      </c>
      <c r="J373" s="35">
        <v>20</v>
      </c>
      <c r="K373" s="35">
        <v>20</v>
      </c>
      <c r="L373" s="35">
        <v>20</v>
      </c>
      <c r="M373" s="35">
        <v>20</v>
      </c>
      <c r="N373" s="35">
        <v>10</v>
      </c>
      <c r="O373" s="35">
        <v>20</v>
      </c>
      <c r="P373" s="35">
        <v>20</v>
      </c>
      <c r="Q373" s="35">
        <v>-1</v>
      </c>
      <c r="S373" s="5" t="str">
        <f>IF(_xlfn.XLOOKUP(StatTbl[[#This Row],[Join]],TargetSlots[Join],TargetSlots[Join],"Не найдено")&lt;&gt;"Не найдено","Ищем","Не ищем")</f>
        <v>Не ищем</v>
      </c>
      <c r="T373" s="4" t="str">
        <f ca="1">IF(COUNTIFS(OFFSET(D373:$Q373,0,SearchDay-1,,15-SearchDay),"&lt;="&amp; ValidC,OFFSET(D373:$Q373,0,SearchDay-1,,15-SearchDay),"&gt;-1")&gt;0,"Есть слот!","Ничего")</f>
        <v>Ничего</v>
      </c>
      <c r="U373">
        <f ca="1">IF(S373="Ищем",IF(StatTbl[[#This Row],[Доступность]]="Есть слот!",COUNTIFS(OFFSET(D373:$Q373,0,SearchDay-1),"&lt;="&amp; ValidC,OFFSET(D373:$Q373,0,SearchDay-1),"&gt;-1"),0),0)</f>
        <v>0</v>
      </c>
      <c r="V373" t="str" cm="1">
        <f t="array" aca="1" ref="V373" ca="1">IF(StatTbl[[#This Row],[Кол-во слотов]]&gt;0, B373&amp;" "&amp;C373&amp;" "&amp;_xlfn.TEXTJOIN(", ",FALSE,TEXT(_xlfn._xlws.FILTER(OFFSET($D$8:$Q$8,0,SearchDay-1,,15-SearchDay),(OFFSET(D373:Q373,0,SearchDay-1,,15-SearchDay)&gt;-1)*(OFFSET(D373:Q373,0,SearchDay-1,,15-SearchDay)&lt;=ValidC)),"ДД/ММ")),"")</f>
        <v/>
      </c>
      <c r="W373" t="str">
        <f t="shared" si="5"/>
        <v>СЦ Челябинск 2Короба</v>
      </c>
    </row>
    <row r="374" spans="2:23" x14ac:dyDescent="0.45">
      <c r="B374" s="12" t="s">
        <v>97</v>
      </c>
      <c r="C374" s="12" t="s">
        <v>110</v>
      </c>
      <c r="D374" s="35">
        <v>-1</v>
      </c>
      <c r="E374" s="35">
        <v>-1</v>
      </c>
      <c r="F374" s="35">
        <v>-1</v>
      </c>
      <c r="G374" s="35">
        <v>-1</v>
      </c>
      <c r="H374" s="35">
        <v>-1</v>
      </c>
      <c r="I374" s="35">
        <v>-1</v>
      </c>
      <c r="J374" s="35">
        <v>-1</v>
      </c>
      <c r="K374" s="35">
        <v>-1</v>
      </c>
      <c r="L374" s="35">
        <v>-1</v>
      </c>
      <c r="M374" s="35">
        <v>-1</v>
      </c>
      <c r="N374" s="35">
        <v>-1</v>
      </c>
      <c r="O374" s="35">
        <v>-1</v>
      </c>
      <c r="P374" s="35">
        <v>-1</v>
      </c>
      <c r="Q374" s="35">
        <v>-1</v>
      </c>
      <c r="S374" s="5" t="str">
        <f>IF(_xlfn.XLOOKUP(StatTbl[[#This Row],[Join]],TargetSlots[Join],TargetSlots[Join],"Не найдено")&lt;&gt;"Не найдено","Ищем","Не ищем")</f>
        <v>Не ищем</v>
      </c>
      <c r="T374" s="4" t="str">
        <f ca="1">IF(COUNTIFS(OFFSET(D374:$Q374,0,SearchDay-1,,15-SearchDay),"&lt;="&amp; ValidC,OFFSET(D374:$Q374,0,SearchDay-1,,15-SearchDay),"&gt;-1")&gt;0,"Есть слот!","Ничего")</f>
        <v>Ничего</v>
      </c>
      <c r="U374">
        <f ca="1">IF(S374="Ищем",IF(StatTbl[[#This Row],[Доступность]]="Есть слот!",COUNTIFS(OFFSET(D374:$Q374,0,SearchDay-1),"&lt;="&amp; ValidC,OFFSET(D374:$Q374,0,SearchDay-1),"&gt;-1"),0),0)</f>
        <v>0</v>
      </c>
      <c r="V374" t="str" cm="1">
        <f t="array" aca="1" ref="V374" ca="1">IF(StatTbl[[#This Row],[Кол-во слотов]]&gt;0, B374&amp;" "&amp;C374&amp;" "&amp;_xlfn.TEXTJOIN(", ",FALSE,TEXT(_xlfn._xlws.FILTER(OFFSET($D$8:$Q$8,0,SearchDay-1,,15-SearchDay),(OFFSET(D374:Q374,0,SearchDay-1,,15-SearchDay)&gt;-1)*(OFFSET(D374:Q374,0,SearchDay-1,,15-SearchDay)&lt;=ValidC)),"ДД/ММ")),"")</f>
        <v/>
      </c>
      <c r="W374" t="str">
        <f t="shared" si="5"/>
        <v>СЦ Челябинск 2Монопаллеты</v>
      </c>
    </row>
    <row r="375" spans="2:23" x14ac:dyDescent="0.45">
      <c r="B375" s="12" t="s">
        <v>97</v>
      </c>
      <c r="C375" s="12" t="s">
        <v>6</v>
      </c>
      <c r="D375" s="35">
        <v>-1</v>
      </c>
      <c r="E375" s="35">
        <v>-1</v>
      </c>
      <c r="F375" s="35">
        <v>-1</v>
      </c>
      <c r="G375" s="35">
        <v>-1</v>
      </c>
      <c r="H375" s="35">
        <v>-1</v>
      </c>
      <c r="I375" s="35">
        <v>-1</v>
      </c>
      <c r="J375" s="35">
        <v>-1</v>
      </c>
      <c r="K375" s="35">
        <v>-1</v>
      </c>
      <c r="L375" s="35">
        <v>-1</v>
      </c>
      <c r="M375" s="35">
        <v>-1</v>
      </c>
      <c r="N375" s="35">
        <v>-1</v>
      </c>
      <c r="O375" s="35">
        <v>-1</v>
      </c>
      <c r="P375" s="35">
        <v>-1</v>
      </c>
      <c r="Q375" s="35">
        <v>-1</v>
      </c>
      <c r="S375" s="5" t="str">
        <f>IF(_xlfn.XLOOKUP(StatTbl[[#This Row],[Join]],TargetSlots[Join],TargetSlots[Join],"Не найдено")&lt;&gt;"Не найдено","Ищем","Не ищем")</f>
        <v>Не ищем</v>
      </c>
      <c r="T375" s="4" t="str">
        <f ca="1">IF(COUNTIFS(OFFSET(D375:$Q375,0,SearchDay-1,,15-SearchDay),"&lt;="&amp; ValidC,OFFSET(D375:$Q375,0,SearchDay-1,,15-SearchDay),"&gt;-1")&gt;0,"Есть слот!","Ничего")</f>
        <v>Ничего</v>
      </c>
      <c r="U375">
        <f ca="1">IF(S375="Ищем",IF(StatTbl[[#This Row],[Доступность]]="Есть слот!",COUNTIFS(OFFSET(D375:$Q375,0,SearchDay-1),"&lt;="&amp; ValidC,OFFSET(D375:$Q375,0,SearchDay-1),"&gt;-1"),0),0)</f>
        <v>0</v>
      </c>
      <c r="V375" t="str" cm="1">
        <f t="array" aca="1" ref="V375" ca="1">IF(StatTbl[[#This Row],[Кол-во слотов]]&gt;0, B375&amp;" "&amp;C375&amp;" "&amp;_xlfn.TEXTJOIN(", ",FALSE,TEXT(_xlfn._xlws.FILTER(OFFSET($D$8:$Q$8,0,SearchDay-1,,15-SearchDay),(OFFSET(D375:Q375,0,SearchDay-1,,15-SearchDay)&gt;-1)*(OFFSET(D375:Q375,0,SearchDay-1,,15-SearchDay)&lt;=ValidC)),"ДД/ММ")),"")</f>
        <v/>
      </c>
      <c r="W375" t="str">
        <f t="shared" si="5"/>
        <v>СЦ Челябинск 2Суперсейф</v>
      </c>
    </row>
    <row r="376" spans="2:23" x14ac:dyDescent="0.45">
      <c r="B376" s="12" t="s">
        <v>97</v>
      </c>
      <c r="C376" s="12" t="s">
        <v>111</v>
      </c>
      <c r="D376" s="35">
        <v>-1</v>
      </c>
      <c r="E376" s="35">
        <v>-1</v>
      </c>
      <c r="F376" s="35">
        <v>-1</v>
      </c>
      <c r="G376" s="35">
        <v>-1</v>
      </c>
      <c r="H376" s="35">
        <v>-1</v>
      </c>
      <c r="I376" s="35">
        <v>-1</v>
      </c>
      <c r="J376" s="35">
        <v>-1</v>
      </c>
      <c r="K376" s="35">
        <v>-1</v>
      </c>
      <c r="L376" s="35">
        <v>-1</v>
      </c>
      <c r="M376" s="35">
        <v>-1</v>
      </c>
      <c r="N376" s="35">
        <v>-1</v>
      </c>
      <c r="O376" s="35">
        <v>-1</v>
      </c>
      <c r="P376" s="35">
        <v>-1</v>
      </c>
      <c r="Q376" s="35">
        <v>-1</v>
      </c>
      <c r="S376" s="5" t="str">
        <f>IF(_xlfn.XLOOKUP(StatTbl[[#This Row],[Join]],TargetSlots[Join],TargetSlots[Join],"Не найдено")&lt;&gt;"Не найдено","Ищем","Не ищем")</f>
        <v>Не ищем</v>
      </c>
      <c r="T376" s="4" t="str">
        <f ca="1">IF(COUNTIFS(OFFSET(D376:$Q376,0,SearchDay-1,,15-SearchDay),"&lt;="&amp; ValidC,OFFSET(D376:$Q376,0,SearchDay-1,,15-SearchDay),"&gt;-1")&gt;0,"Есть слот!","Ничего")</f>
        <v>Ничего</v>
      </c>
      <c r="U376">
        <f ca="1">IF(S376="Ищем",IF(StatTbl[[#This Row],[Доступность]]="Есть слот!",COUNTIFS(OFFSET(D376:$Q376,0,SearchDay-1),"&lt;="&amp; ValidC,OFFSET(D376:$Q376,0,SearchDay-1),"&gt;-1"),0),0)</f>
        <v>0</v>
      </c>
      <c r="V376" t="str" cm="1">
        <f t="array" aca="1" ref="V376" ca="1">IF(StatTbl[[#This Row],[Кол-во слотов]]&gt;0, B376&amp;" "&amp;C376&amp;" "&amp;_xlfn.TEXTJOIN(", ",FALSE,TEXT(_xlfn._xlws.FILTER(OFFSET($D$8:$Q$8,0,SearchDay-1,,15-SearchDay),(OFFSET(D376:Q376,0,SearchDay-1,,15-SearchDay)&gt;-1)*(OFFSET(D376:Q376,0,SearchDay-1,,15-SearchDay)&lt;=ValidC)),"ДД/ММ")),"")</f>
        <v/>
      </c>
      <c r="W376" t="str">
        <f t="shared" si="5"/>
        <v>СЦ Челябинск 2QR-поставка</v>
      </c>
    </row>
    <row r="377" spans="2:23" x14ac:dyDescent="0.45">
      <c r="B377" s="12" t="s">
        <v>98</v>
      </c>
      <c r="C377" s="12" t="s">
        <v>109</v>
      </c>
      <c r="D377" s="35">
        <v>-1</v>
      </c>
      <c r="E377" s="35">
        <v>-1</v>
      </c>
      <c r="F377" s="35">
        <v>-1</v>
      </c>
      <c r="G377" s="35">
        <v>-1</v>
      </c>
      <c r="H377" s="35">
        <v>-1</v>
      </c>
      <c r="I377" s="35">
        <v>-1</v>
      </c>
      <c r="J377" s="35">
        <v>-1</v>
      </c>
      <c r="K377" s="35">
        <v>-1</v>
      </c>
      <c r="L377" s="35">
        <v>-1</v>
      </c>
      <c r="M377" s="35">
        <v>-1</v>
      </c>
      <c r="N377" s="35">
        <v>-1</v>
      </c>
      <c r="O377" s="35">
        <v>-1</v>
      </c>
      <c r="P377" s="35">
        <v>-1</v>
      </c>
      <c r="Q377" s="35">
        <v>-1</v>
      </c>
      <c r="S377" s="5" t="str">
        <f>IF(_xlfn.XLOOKUP(StatTbl[[#This Row],[Join]],TargetSlots[Join],TargetSlots[Join],"Не найдено")&lt;&gt;"Не найдено","Ищем","Не ищем")</f>
        <v>Не ищем</v>
      </c>
      <c r="T377" s="4" t="str">
        <f ca="1">IF(COUNTIFS(OFFSET(D377:$Q377,0,SearchDay-1,,15-SearchDay),"&lt;="&amp; ValidC,OFFSET(D377:$Q377,0,SearchDay-1,,15-SearchDay),"&gt;-1")&gt;0,"Есть слот!","Ничего")</f>
        <v>Ничего</v>
      </c>
      <c r="U377">
        <f ca="1">IF(S377="Ищем",IF(StatTbl[[#This Row],[Доступность]]="Есть слот!",COUNTIFS(OFFSET(D377:$Q377,0,SearchDay-1),"&lt;="&amp; ValidC,OFFSET(D377:$Q377,0,SearchDay-1),"&gt;-1"),0),0)</f>
        <v>0</v>
      </c>
      <c r="V377" t="str" cm="1">
        <f t="array" aca="1" ref="V377" ca="1">IF(StatTbl[[#This Row],[Кол-во слотов]]&gt;0, B377&amp;" "&amp;C377&amp;" "&amp;_xlfn.TEXTJOIN(", ",FALSE,TEXT(_xlfn._xlws.FILTER(OFFSET($D$8:$Q$8,0,SearchDay-1,,15-SearchDay),(OFFSET(D377:Q377,0,SearchDay-1,,15-SearchDay)&gt;-1)*(OFFSET(D377:Q377,0,SearchDay-1,,15-SearchDay)&lt;=ValidC)),"ДД/ММ")),"")</f>
        <v/>
      </c>
      <c r="W377" t="str">
        <f t="shared" si="5"/>
        <v>СЦ ЧереповецКороба</v>
      </c>
    </row>
    <row r="378" spans="2:23" x14ac:dyDescent="0.45">
      <c r="B378" s="12" t="s">
        <v>98</v>
      </c>
      <c r="C378" s="12" t="s">
        <v>110</v>
      </c>
      <c r="D378" s="35">
        <v>-1</v>
      </c>
      <c r="E378" s="35">
        <v>-1</v>
      </c>
      <c r="F378" s="35">
        <v>-1</v>
      </c>
      <c r="G378" s="35">
        <v>-1</v>
      </c>
      <c r="H378" s="35">
        <v>-1</v>
      </c>
      <c r="I378" s="35">
        <v>-1</v>
      </c>
      <c r="J378" s="35">
        <v>-1</v>
      </c>
      <c r="K378" s="35">
        <v>-1</v>
      </c>
      <c r="L378" s="35">
        <v>-1</v>
      </c>
      <c r="M378" s="35">
        <v>-1</v>
      </c>
      <c r="N378" s="35">
        <v>-1</v>
      </c>
      <c r="O378" s="35">
        <v>-1</v>
      </c>
      <c r="P378" s="35">
        <v>-1</v>
      </c>
      <c r="Q378" s="35">
        <v>-1</v>
      </c>
      <c r="S378" s="5" t="str">
        <f>IF(_xlfn.XLOOKUP(StatTbl[[#This Row],[Join]],TargetSlots[Join],TargetSlots[Join],"Не найдено")&lt;&gt;"Не найдено","Ищем","Не ищем")</f>
        <v>Не ищем</v>
      </c>
      <c r="T378" s="4" t="str">
        <f ca="1">IF(COUNTIFS(OFFSET(D378:$Q378,0,SearchDay-1,,15-SearchDay),"&lt;="&amp; ValidC,OFFSET(D378:$Q378,0,SearchDay-1,,15-SearchDay),"&gt;-1")&gt;0,"Есть слот!","Ничего")</f>
        <v>Ничего</v>
      </c>
      <c r="U378">
        <f ca="1">IF(S378="Ищем",IF(StatTbl[[#This Row],[Доступность]]="Есть слот!",COUNTIFS(OFFSET(D378:$Q378,0,SearchDay-1),"&lt;="&amp; ValidC,OFFSET(D378:$Q378,0,SearchDay-1),"&gt;-1"),0),0)</f>
        <v>0</v>
      </c>
      <c r="V378" t="str" cm="1">
        <f t="array" aca="1" ref="V378" ca="1">IF(StatTbl[[#This Row],[Кол-во слотов]]&gt;0, B378&amp;" "&amp;C378&amp;" "&amp;_xlfn.TEXTJOIN(", ",FALSE,TEXT(_xlfn._xlws.FILTER(OFFSET($D$8:$Q$8,0,SearchDay-1,,15-SearchDay),(OFFSET(D378:Q378,0,SearchDay-1,,15-SearchDay)&gt;-1)*(OFFSET(D378:Q378,0,SearchDay-1,,15-SearchDay)&lt;=ValidC)),"ДД/ММ")),"")</f>
        <v/>
      </c>
      <c r="W378" t="str">
        <f t="shared" si="5"/>
        <v>СЦ ЧереповецМонопаллеты</v>
      </c>
    </row>
    <row r="379" spans="2:23" x14ac:dyDescent="0.45">
      <c r="B379" s="12" t="s">
        <v>98</v>
      </c>
      <c r="C379" s="12" t="s">
        <v>6</v>
      </c>
      <c r="D379" s="35">
        <v>-1</v>
      </c>
      <c r="E379" s="35">
        <v>-1</v>
      </c>
      <c r="F379" s="35">
        <v>-1</v>
      </c>
      <c r="G379" s="35">
        <v>-1</v>
      </c>
      <c r="H379" s="35">
        <v>-1</v>
      </c>
      <c r="I379" s="35">
        <v>-1</v>
      </c>
      <c r="J379" s="35">
        <v>-1</v>
      </c>
      <c r="K379" s="35">
        <v>-1</v>
      </c>
      <c r="L379" s="35">
        <v>-1</v>
      </c>
      <c r="M379" s="35">
        <v>-1</v>
      </c>
      <c r="N379" s="35">
        <v>-1</v>
      </c>
      <c r="O379" s="35">
        <v>-1</v>
      </c>
      <c r="P379" s="35">
        <v>-1</v>
      </c>
      <c r="Q379" s="35">
        <v>-1</v>
      </c>
      <c r="S379" s="5" t="str">
        <f>IF(_xlfn.XLOOKUP(StatTbl[[#This Row],[Join]],TargetSlots[Join],TargetSlots[Join],"Не найдено")&lt;&gt;"Не найдено","Ищем","Не ищем")</f>
        <v>Не ищем</v>
      </c>
      <c r="T379" s="4" t="str">
        <f ca="1">IF(COUNTIFS(OFFSET(D379:$Q379,0,SearchDay-1,,15-SearchDay),"&lt;="&amp; ValidC,OFFSET(D379:$Q379,0,SearchDay-1,,15-SearchDay),"&gt;-1")&gt;0,"Есть слот!","Ничего")</f>
        <v>Ничего</v>
      </c>
      <c r="U379">
        <f ca="1">IF(S379="Ищем",IF(StatTbl[[#This Row],[Доступность]]="Есть слот!",COUNTIFS(OFFSET(D379:$Q379,0,SearchDay-1),"&lt;="&amp; ValidC,OFFSET(D379:$Q379,0,SearchDay-1),"&gt;-1"),0),0)</f>
        <v>0</v>
      </c>
      <c r="V379" t="str" cm="1">
        <f t="array" aca="1" ref="V379" ca="1">IF(StatTbl[[#This Row],[Кол-во слотов]]&gt;0, B379&amp;" "&amp;C379&amp;" "&amp;_xlfn.TEXTJOIN(", ",FALSE,TEXT(_xlfn._xlws.FILTER(OFFSET($D$8:$Q$8,0,SearchDay-1,,15-SearchDay),(OFFSET(D379:Q379,0,SearchDay-1,,15-SearchDay)&gt;-1)*(OFFSET(D379:Q379,0,SearchDay-1,,15-SearchDay)&lt;=ValidC)),"ДД/ММ")),"")</f>
        <v/>
      </c>
      <c r="W379" t="str">
        <f t="shared" si="5"/>
        <v>СЦ ЧереповецСуперсейф</v>
      </c>
    </row>
    <row r="380" spans="2:23" x14ac:dyDescent="0.45">
      <c r="B380" s="12" t="s">
        <v>98</v>
      </c>
      <c r="C380" s="12" t="s">
        <v>111</v>
      </c>
      <c r="D380" s="35">
        <v>-1</v>
      </c>
      <c r="E380" s="35">
        <v>-1</v>
      </c>
      <c r="F380" s="35">
        <v>-1</v>
      </c>
      <c r="G380" s="35">
        <v>-1</v>
      </c>
      <c r="H380" s="35">
        <v>-1</v>
      </c>
      <c r="I380" s="35">
        <v>-1</v>
      </c>
      <c r="J380" s="35">
        <v>-1</v>
      </c>
      <c r="K380" s="35">
        <v>-1</v>
      </c>
      <c r="L380" s="35">
        <v>-1</v>
      </c>
      <c r="M380" s="35">
        <v>-1</v>
      </c>
      <c r="N380" s="35">
        <v>-1</v>
      </c>
      <c r="O380" s="35">
        <v>-1</v>
      </c>
      <c r="P380" s="35">
        <v>-1</v>
      </c>
      <c r="Q380" s="35">
        <v>-1</v>
      </c>
      <c r="S380" s="5" t="str">
        <f>IF(_xlfn.XLOOKUP(StatTbl[[#This Row],[Join]],TargetSlots[Join],TargetSlots[Join],"Не найдено")&lt;&gt;"Не найдено","Ищем","Не ищем")</f>
        <v>Не ищем</v>
      </c>
      <c r="T380" s="4" t="str">
        <f ca="1">IF(COUNTIFS(OFFSET(D380:$Q380,0,SearchDay-1,,15-SearchDay),"&lt;="&amp; ValidC,OFFSET(D380:$Q380,0,SearchDay-1,,15-SearchDay),"&gt;-1")&gt;0,"Есть слот!","Ничего")</f>
        <v>Ничего</v>
      </c>
      <c r="U380">
        <f ca="1">IF(S380="Ищем",IF(StatTbl[[#This Row],[Доступность]]="Есть слот!",COUNTIFS(OFFSET(D380:$Q380,0,SearchDay-1),"&lt;="&amp; ValidC,OFFSET(D380:$Q380,0,SearchDay-1),"&gt;-1"),0),0)</f>
        <v>0</v>
      </c>
      <c r="V380" t="str" cm="1">
        <f t="array" aca="1" ref="V380" ca="1">IF(StatTbl[[#This Row],[Кол-во слотов]]&gt;0, B380&amp;" "&amp;C380&amp;" "&amp;_xlfn.TEXTJOIN(", ",FALSE,TEXT(_xlfn._xlws.FILTER(OFFSET($D$8:$Q$8,0,SearchDay-1,,15-SearchDay),(OFFSET(D380:Q380,0,SearchDay-1,,15-SearchDay)&gt;-1)*(OFFSET(D380:Q380,0,SearchDay-1,,15-SearchDay)&lt;=ValidC)),"ДД/ММ")),"")</f>
        <v/>
      </c>
      <c r="W380" t="str">
        <f t="shared" si="5"/>
        <v>СЦ ЧереповецQR-поставка</v>
      </c>
    </row>
    <row r="381" spans="2:23" x14ac:dyDescent="0.45">
      <c r="B381" s="12" t="s">
        <v>99</v>
      </c>
      <c r="C381" s="12" t="s">
        <v>109</v>
      </c>
      <c r="D381" s="35">
        <v>5</v>
      </c>
      <c r="E381" s="35">
        <v>5</v>
      </c>
      <c r="F381" s="35">
        <v>5</v>
      </c>
      <c r="G381" s="35">
        <v>5</v>
      </c>
      <c r="H381" s="35">
        <v>5</v>
      </c>
      <c r="I381" s="35">
        <v>5</v>
      </c>
      <c r="J381" s="35">
        <v>5</v>
      </c>
      <c r="K381" s="35">
        <v>5</v>
      </c>
      <c r="L381" s="35">
        <v>5</v>
      </c>
      <c r="M381" s="35">
        <v>5</v>
      </c>
      <c r="N381" s="35">
        <v>5</v>
      </c>
      <c r="O381" s="35">
        <v>5</v>
      </c>
      <c r="P381" s="35">
        <v>5</v>
      </c>
      <c r="Q381" s="35">
        <v>-1</v>
      </c>
      <c r="S381" s="5" t="str">
        <f>IF(_xlfn.XLOOKUP(StatTbl[[#This Row],[Join]],TargetSlots[Join],TargetSlots[Join],"Не найдено")&lt;&gt;"Не найдено","Ищем","Не ищем")</f>
        <v>Не ищем</v>
      </c>
      <c r="T381" s="4" t="str">
        <f ca="1">IF(COUNTIFS(OFFSET(D381:$Q381,0,SearchDay-1,,15-SearchDay),"&lt;="&amp; ValidC,OFFSET(D381:$Q381,0,SearchDay-1,,15-SearchDay),"&gt;-1")&gt;0,"Есть слот!","Ничего")</f>
        <v>Ничего</v>
      </c>
      <c r="U381">
        <f ca="1">IF(S381="Ищем",IF(StatTbl[[#This Row],[Доступность]]="Есть слот!",COUNTIFS(OFFSET(D381:$Q381,0,SearchDay-1),"&lt;="&amp; ValidC,OFFSET(D381:$Q381,0,SearchDay-1),"&gt;-1"),0),0)</f>
        <v>0</v>
      </c>
      <c r="V381" t="str" cm="1">
        <f t="array" aca="1" ref="V381" ca="1">IF(StatTbl[[#This Row],[Кол-во слотов]]&gt;0, B381&amp;" "&amp;C381&amp;" "&amp;_xlfn.TEXTJOIN(", ",FALSE,TEXT(_xlfn._xlws.FILTER(OFFSET($D$8:$Q$8,0,SearchDay-1,,15-SearchDay),(OFFSET(D381:Q381,0,SearchDay-1,,15-SearchDay)&gt;-1)*(OFFSET(D381:Q381,0,SearchDay-1,,15-SearchDay)&lt;=ValidC)),"ДД/ММ")),"")</f>
        <v/>
      </c>
      <c r="W381" t="str">
        <f t="shared" si="5"/>
        <v>СЦ Чита 2Короба</v>
      </c>
    </row>
    <row r="382" spans="2:23" x14ac:dyDescent="0.45">
      <c r="B382" s="12" t="s">
        <v>99</v>
      </c>
      <c r="C382" s="12" t="s">
        <v>110</v>
      </c>
      <c r="D382" s="35">
        <v>-1</v>
      </c>
      <c r="E382" s="35">
        <v>-1</v>
      </c>
      <c r="F382" s="35">
        <v>-1</v>
      </c>
      <c r="G382" s="35">
        <v>-1</v>
      </c>
      <c r="H382" s="35">
        <v>-1</v>
      </c>
      <c r="I382" s="35">
        <v>-1</v>
      </c>
      <c r="J382" s="35">
        <v>-1</v>
      </c>
      <c r="K382" s="35">
        <v>-1</v>
      </c>
      <c r="L382" s="35">
        <v>-1</v>
      </c>
      <c r="M382" s="35">
        <v>-1</v>
      </c>
      <c r="N382" s="35">
        <v>-1</v>
      </c>
      <c r="O382" s="35">
        <v>-1</v>
      </c>
      <c r="P382" s="35">
        <v>-1</v>
      </c>
      <c r="Q382" s="35">
        <v>-1</v>
      </c>
      <c r="S382" s="5" t="str">
        <f>IF(_xlfn.XLOOKUP(StatTbl[[#This Row],[Join]],TargetSlots[Join],TargetSlots[Join],"Не найдено")&lt;&gt;"Не найдено","Ищем","Не ищем")</f>
        <v>Не ищем</v>
      </c>
      <c r="T382" s="4" t="str">
        <f ca="1">IF(COUNTIFS(OFFSET(D382:$Q382,0,SearchDay-1,,15-SearchDay),"&lt;="&amp; ValidC,OFFSET(D382:$Q382,0,SearchDay-1,,15-SearchDay),"&gt;-1")&gt;0,"Есть слот!","Ничего")</f>
        <v>Ничего</v>
      </c>
      <c r="U382">
        <f ca="1">IF(S382="Ищем",IF(StatTbl[[#This Row],[Доступность]]="Есть слот!",COUNTIFS(OFFSET(D382:$Q382,0,SearchDay-1),"&lt;="&amp; ValidC,OFFSET(D382:$Q382,0,SearchDay-1),"&gt;-1"),0),0)</f>
        <v>0</v>
      </c>
      <c r="V382" t="str" cm="1">
        <f t="array" aca="1" ref="V382" ca="1">IF(StatTbl[[#This Row],[Кол-во слотов]]&gt;0, B382&amp;" "&amp;C382&amp;" "&amp;_xlfn.TEXTJOIN(", ",FALSE,TEXT(_xlfn._xlws.FILTER(OFFSET($D$8:$Q$8,0,SearchDay-1,,15-SearchDay),(OFFSET(D382:Q382,0,SearchDay-1,,15-SearchDay)&gt;-1)*(OFFSET(D382:Q382,0,SearchDay-1,,15-SearchDay)&lt;=ValidC)),"ДД/ММ")),"")</f>
        <v/>
      </c>
      <c r="W382" t="str">
        <f t="shared" si="5"/>
        <v>СЦ Чита 2Монопаллеты</v>
      </c>
    </row>
    <row r="383" spans="2:23" x14ac:dyDescent="0.45">
      <c r="B383" s="12" t="s">
        <v>99</v>
      </c>
      <c r="C383" s="12" t="s">
        <v>6</v>
      </c>
      <c r="D383" s="35">
        <v>-1</v>
      </c>
      <c r="E383" s="35">
        <v>-1</v>
      </c>
      <c r="F383" s="35">
        <v>-1</v>
      </c>
      <c r="G383" s="35">
        <v>-1</v>
      </c>
      <c r="H383" s="35">
        <v>-1</v>
      </c>
      <c r="I383" s="35">
        <v>-1</v>
      </c>
      <c r="J383" s="35">
        <v>-1</v>
      </c>
      <c r="K383" s="35">
        <v>-1</v>
      </c>
      <c r="L383" s="35">
        <v>-1</v>
      </c>
      <c r="M383" s="35">
        <v>-1</v>
      </c>
      <c r="N383" s="35">
        <v>-1</v>
      </c>
      <c r="O383" s="35">
        <v>-1</v>
      </c>
      <c r="P383" s="35">
        <v>-1</v>
      </c>
      <c r="Q383" s="35">
        <v>-1</v>
      </c>
      <c r="S383" s="5" t="str">
        <f>IF(_xlfn.XLOOKUP(StatTbl[[#This Row],[Join]],TargetSlots[Join],TargetSlots[Join],"Не найдено")&lt;&gt;"Не найдено","Ищем","Не ищем")</f>
        <v>Не ищем</v>
      </c>
      <c r="T383" s="4" t="str">
        <f ca="1">IF(COUNTIFS(OFFSET(D383:$Q383,0,SearchDay-1,,15-SearchDay),"&lt;="&amp; ValidC,OFFSET(D383:$Q383,0,SearchDay-1,,15-SearchDay),"&gt;-1")&gt;0,"Есть слот!","Ничего")</f>
        <v>Ничего</v>
      </c>
      <c r="U383">
        <f ca="1">IF(S383="Ищем",IF(StatTbl[[#This Row],[Доступность]]="Есть слот!",COUNTIFS(OFFSET(D383:$Q383,0,SearchDay-1),"&lt;="&amp; ValidC,OFFSET(D383:$Q383,0,SearchDay-1),"&gt;-1"),0),0)</f>
        <v>0</v>
      </c>
      <c r="V383" t="str" cm="1">
        <f t="array" aca="1" ref="V383" ca="1">IF(StatTbl[[#This Row],[Кол-во слотов]]&gt;0, B383&amp;" "&amp;C383&amp;" "&amp;_xlfn.TEXTJOIN(", ",FALSE,TEXT(_xlfn._xlws.FILTER(OFFSET($D$8:$Q$8,0,SearchDay-1,,15-SearchDay),(OFFSET(D383:Q383,0,SearchDay-1,,15-SearchDay)&gt;-1)*(OFFSET(D383:Q383,0,SearchDay-1,,15-SearchDay)&lt;=ValidC)),"ДД/ММ")),"")</f>
        <v/>
      </c>
      <c r="W383" t="str">
        <f t="shared" si="5"/>
        <v>СЦ Чита 2Суперсейф</v>
      </c>
    </row>
    <row r="384" spans="2:23" x14ac:dyDescent="0.45">
      <c r="B384" s="12" t="s">
        <v>99</v>
      </c>
      <c r="C384" s="12" t="s">
        <v>111</v>
      </c>
      <c r="D384" s="35">
        <v>5</v>
      </c>
      <c r="E384" s="35">
        <v>5</v>
      </c>
      <c r="F384" s="35">
        <v>5</v>
      </c>
      <c r="G384" s="35">
        <v>5</v>
      </c>
      <c r="H384" s="35">
        <v>5</v>
      </c>
      <c r="I384" s="35">
        <v>5</v>
      </c>
      <c r="J384" s="35">
        <v>5</v>
      </c>
      <c r="K384" s="35">
        <v>5</v>
      </c>
      <c r="L384" s="35">
        <v>5</v>
      </c>
      <c r="M384" s="35">
        <v>5</v>
      </c>
      <c r="N384" s="35">
        <v>5</v>
      </c>
      <c r="O384" s="35">
        <v>-1</v>
      </c>
      <c r="P384" s="35">
        <v>-1</v>
      </c>
      <c r="Q384" s="35">
        <v>-1</v>
      </c>
      <c r="S384" s="5" t="str">
        <f>IF(_xlfn.XLOOKUP(StatTbl[[#This Row],[Join]],TargetSlots[Join],TargetSlots[Join],"Не найдено")&lt;&gt;"Не найдено","Ищем","Не ищем")</f>
        <v>Не ищем</v>
      </c>
      <c r="T384" s="4" t="str">
        <f ca="1">IF(COUNTIFS(OFFSET(D384:$Q384,0,SearchDay-1,,15-SearchDay),"&lt;="&amp; ValidC,OFFSET(D384:$Q384,0,SearchDay-1,,15-SearchDay),"&gt;-1")&gt;0,"Есть слот!","Ничего")</f>
        <v>Ничего</v>
      </c>
      <c r="U384">
        <f ca="1">IF(S384="Ищем",IF(StatTbl[[#This Row],[Доступность]]="Есть слот!",COUNTIFS(OFFSET(D384:$Q384,0,SearchDay-1),"&lt;="&amp; ValidC,OFFSET(D384:$Q384,0,SearchDay-1),"&gt;-1"),0),0)</f>
        <v>0</v>
      </c>
      <c r="V384" t="str" cm="1">
        <f t="array" aca="1" ref="V384" ca="1">IF(StatTbl[[#This Row],[Кол-во слотов]]&gt;0, B384&amp;" "&amp;C384&amp;" "&amp;_xlfn.TEXTJOIN(", ",FALSE,TEXT(_xlfn._xlws.FILTER(OFFSET($D$8:$Q$8,0,SearchDay-1,,15-SearchDay),(OFFSET(D384:Q384,0,SearchDay-1,,15-SearchDay)&gt;-1)*(OFFSET(D384:Q384,0,SearchDay-1,,15-SearchDay)&lt;=ValidC)),"ДД/ММ")),"")</f>
        <v/>
      </c>
      <c r="W384" t="str">
        <f t="shared" si="5"/>
        <v>СЦ Чита 2QR-поставка</v>
      </c>
    </row>
    <row r="385" spans="2:23" x14ac:dyDescent="0.45">
      <c r="B385" s="12" t="s">
        <v>100</v>
      </c>
      <c r="C385" s="12" t="s">
        <v>109</v>
      </c>
      <c r="D385" s="35">
        <v>-1</v>
      </c>
      <c r="E385" s="35">
        <v>-1</v>
      </c>
      <c r="F385" s="35">
        <v>-1</v>
      </c>
      <c r="G385" s="35">
        <v>-1</v>
      </c>
      <c r="H385" s="35">
        <v>-1</v>
      </c>
      <c r="I385" s="35">
        <v>-1</v>
      </c>
      <c r="J385" s="35">
        <v>-1</v>
      </c>
      <c r="K385" s="35">
        <v>-1</v>
      </c>
      <c r="L385" s="35">
        <v>-1</v>
      </c>
      <c r="M385" s="35">
        <v>-1</v>
      </c>
      <c r="N385" s="35">
        <v>-1</v>
      </c>
      <c r="O385" s="35">
        <v>-1</v>
      </c>
      <c r="P385" s="35">
        <v>-1</v>
      </c>
      <c r="Q385" s="35">
        <v>-1</v>
      </c>
      <c r="S385" s="5" t="str">
        <f>IF(_xlfn.XLOOKUP(StatTbl[[#This Row],[Join]],TargetSlots[Join],TargetSlots[Join],"Не найдено")&lt;&gt;"Не найдено","Ищем","Не ищем")</f>
        <v>Не ищем</v>
      </c>
      <c r="T385" s="4" t="str">
        <f ca="1">IF(COUNTIFS(OFFSET(D385:$Q385,0,SearchDay-1,,15-SearchDay),"&lt;="&amp; ValidC,OFFSET(D385:$Q385,0,SearchDay-1,,15-SearchDay),"&gt;-1")&gt;0,"Есть слот!","Ничего")</f>
        <v>Ничего</v>
      </c>
      <c r="U385">
        <f ca="1">IF(S385="Ищем",IF(StatTbl[[#This Row],[Доступность]]="Есть слот!",COUNTIFS(OFFSET(D385:$Q385,0,SearchDay-1),"&lt;="&amp; ValidC,OFFSET(D385:$Q385,0,SearchDay-1),"&gt;-1"),0),0)</f>
        <v>0</v>
      </c>
      <c r="V385" t="str" cm="1">
        <f t="array" aca="1" ref="V385" ca="1">IF(StatTbl[[#This Row],[Кол-во слотов]]&gt;0, B385&amp;" "&amp;C385&amp;" "&amp;_xlfn.TEXTJOIN(", ",FALSE,TEXT(_xlfn._xlws.FILTER(OFFSET($D$8:$Q$8,0,SearchDay-1,,15-SearchDay),(OFFSET(D385:Q385,0,SearchDay-1,,15-SearchDay)&gt;-1)*(OFFSET(D385:Q385,0,SearchDay-1,,15-SearchDay)&lt;=ValidC)),"ДД/ММ")),"")</f>
        <v/>
      </c>
      <c r="W385" t="str">
        <f t="shared" si="5"/>
        <v>СЦ ШушарыКороба</v>
      </c>
    </row>
    <row r="386" spans="2:23" x14ac:dyDescent="0.45">
      <c r="B386" s="12" t="s">
        <v>100</v>
      </c>
      <c r="C386" s="12" t="s">
        <v>110</v>
      </c>
      <c r="D386" s="35">
        <v>-1</v>
      </c>
      <c r="E386" s="35">
        <v>-1</v>
      </c>
      <c r="F386" s="35">
        <v>-1</v>
      </c>
      <c r="G386" s="35">
        <v>-1</v>
      </c>
      <c r="H386" s="35">
        <v>-1</v>
      </c>
      <c r="I386" s="35">
        <v>-1</v>
      </c>
      <c r="J386" s="35">
        <v>-1</v>
      </c>
      <c r="K386" s="35">
        <v>-1</v>
      </c>
      <c r="L386" s="35">
        <v>-1</v>
      </c>
      <c r="M386" s="35">
        <v>-1</v>
      </c>
      <c r="N386" s="35">
        <v>-1</v>
      </c>
      <c r="O386" s="35">
        <v>-1</v>
      </c>
      <c r="P386" s="35">
        <v>-1</v>
      </c>
      <c r="Q386" s="35">
        <v>-1</v>
      </c>
      <c r="S386" s="5" t="str">
        <f>IF(_xlfn.XLOOKUP(StatTbl[[#This Row],[Join]],TargetSlots[Join],TargetSlots[Join],"Не найдено")&lt;&gt;"Не найдено","Ищем","Не ищем")</f>
        <v>Не ищем</v>
      </c>
      <c r="T386" s="4" t="str">
        <f ca="1">IF(COUNTIFS(OFFSET(D386:$Q386,0,SearchDay-1,,15-SearchDay),"&lt;="&amp; ValidC,OFFSET(D386:$Q386,0,SearchDay-1,,15-SearchDay),"&gt;-1")&gt;0,"Есть слот!","Ничего")</f>
        <v>Ничего</v>
      </c>
      <c r="U386">
        <f ca="1">IF(S386="Ищем",IF(StatTbl[[#This Row],[Доступность]]="Есть слот!",COUNTIFS(OFFSET(D386:$Q386,0,SearchDay-1),"&lt;="&amp; ValidC,OFFSET(D386:$Q386,0,SearchDay-1),"&gt;-1"),0),0)</f>
        <v>0</v>
      </c>
      <c r="V386" t="str" cm="1">
        <f t="array" aca="1" ref="V386" ca="1">IF(StatTbl[[#This Row],[Кол-во слотов]]&gt;0, B386&amp;" "&amp;C386&amp;" "&amp;_xlfn.TEXTJOIN(", ",FALSE,TEXT(_xlfn._xlws.FILTER(OFFSET($D$8:$Q$8,0,SearchDay-1,,15-SearchDay),(OFFSET(D386:Q386,0,SearchDay-1,,15-SearchDay)&gt;-1)*(OFFSET(D386:Q386,0,SearchDay-1,,15-SearchDay)&lt;=ValidC)),"ДД/ММ")),"")</f>
        <v/>
      </c>
      <c r="W386" t="str">
        <f t="shared" si="5"/>
        <v>СЦ ШушарыМонопаллеты</v>
      </c>
    </row>
    <row r="387" spans="2:23" x14ac:dyDescent="0.45">
      <c r="B387" s="12" t="s">
        <v>100</v>
      </c>
      <c r="C387" s="12" t="s">
        <v>6</v>
      </c>
      <c r="D387" s="35">
        <v>-1</v>
      </c>
      <c r="E387" s="35">
        <v>-1</v>
      </c>
      <c r="F387" s="35">
        <v>-1</v>
      </c>
      <c r="G387" s="35">
        <v>-1</v>
      </c>
      <c r="H387" s="35">
        <v>-1</v>
      </c>
      <c r="I387" s="35">
        <v>-1</v>
      </c>
      <c r="J387" s="35">
        <v>-1</v>
      </c>
      <c r="K387" s="35">
        <v>-1</v>
      </c>
      <c r="L387" s="35">
        <v>-1</v>
      </c>
      <c r="M387" s="35">
        <v>-1</v>
      </c>
      <c r="N387" s="35">
        <v>-1</v>
      </c>
      <c r="O387" s="35">
        <v>-1</v>
      </c>
      <c r="P387" s="35">
        <v>-1</v>
      </c>
      <c r="Q387" s="35">
        <v>-1</v>
      </c>
      <c r="S387" s="5" t="str">
        <f>IF(_xlfn.XLOOKUP(StatTbl[[#This Row],[Join]],TargetSlots[Join],TargetSlots[Join],"Не найдено")&lt;&gt;"Не найдено","Ищем","Не ищем")</f>
        <v>Не ищем</v>
      </c>
      <c r="T387" s="4" t="str">
        <f ca="1">IF(COUNTIFS(OFFSET(D387:$Q387,0,SearchDay-1,,15-SearchDay),"&lt;="&amp; ValidC,OFFSET(D387:$Q387,0,SearchDay-1,,15-SearchDay),"&gt;-1")&gt;0,"Есть слот!","Ничего")</f>
        <v>Ничего</v>
      </c>
      <c r="U387">
        <f ca="1">IF(S387="Ищем",IF(StatTbl[[#This Row],[Доступность]]="Есть слот!",COUNTIFS(OFFSET(D387:$Q387,0,SearchDay-1),"&lt;="&amp; ValidC,OFFSET(D387:$Q387,0,SearchDay-1),"&gt;-1"),0),0)</f>
        <v>0</v>
      </c>
      <c r="V387" t="str" cm="1">
        <f t="array" aca="1" ref="V387" ca="1">IF(StatTbl[[#This Row],[Кол-во слотов]]&gt;0, B387&amp;" "&amp;C387&amp;" "&amp;_xlfn.TEXTJOIN(", ",FALSE,TEXT(_xlfn._xlws.FILTER(OFFSET($D$8:$Q$8,0,SearchDay-1,,15-SearchDay),(OFFSET(D387:Q387,0,SearchDay-1,,15-SearchDay)&gt;-1)*(OFFSET(D387:Q387,0,SearchDay-1,,15-SearchDay)&lt;=ValidC)),"ДД/ММ")),"")</f>
        <v/>
      </c>
      <c r="W387" t="str">
        <f t="shared" si="5"/>
        <v>СЦ ШушарыСуперсейф</v>
      </c>
    </row>
    <row r="388" spans="2:23" x14ac:dyDescent="0.45">
      <c r="B388" s="12" t="s">
        <v>100</v>
      </c>
      <c r="C388" s="12" t="s">
        <v>111</v>
      </c>
      <c r="D388" s="35">
        <v>-1</v>
      </c>
      <c r="E388" s="35">
        <v>-1</v>
      </c>
      <c r="F388" s="35">
        <v>-1</v>
      </c>
      <c r="G388" s="35">
        <v>-1</v>
      </c>
      <c r="H388" s="35">
        <v>-1</v>
      </c>
      <c r="I388" s="35">
        <v>-1</v>
      </c>
      <c r="J388" s="35">
        <v>-1</v>
      </c>
      <c r="K388" s="35">
        <v>-1</v>
      </c>
      <c r="L388" s="35">
        <v>-1</v>
      </c>
      <c r="M388" s="35">
        <v>-1</v>
      </c>
      <c r="N388" s="35">
        <v>-1</v>
      </c>
      <c r="O388" s="35">
        <v>-1</v>
      </c>
      <c r="P388" s="35">
        <v>-1</v>
      </c>
      <c r="Q388" s="35">
        <v>-1</v>
      </c>
      <c r="S388" s="5" t="str">
        <f>IF(_xlfn.XLOOKUP(StatTbl[[#This Row],[Join]],TargetSlots[Join],TargetSlots[Join],"Не найдено")&lt;&gt;"Не найдено","Ищем","Не ищем")</f>
        <v>Не ищем</v>
      </c>
      <c r="T388" s="4" t="str">
        <f ca="1">IF(COUNTIFS(OFFSET(D388:$Q388,0,SearchDay-1,,15-SearchDay),"&lt;="&amp; ValidC,OFFSET(D388:$Q388,0,SearchDay-1,,15-SearchDay),"&gt;-1")&gt;0,"Есть слот!","Ничего")</f>
        <v>Ничего</v>
      </c>
      <c r="U388">
        <f ca="1">IF(S388="Ищем",IF(StatTbl[[#This Row],[Доступность]]="Есть слот!",COUNTIFS(OFFSET(D388:$Q388,0,SearchDay-1),"&lt;="&amp; ValidC,OFFSET(D388:$Q388,0,SearchDay-1),"&gt;-1"),0),0)</f>
        <v>0</v>
      </c>
      <c r="V388" t="str" cm="1">
        <f t="array" aca="1" ref="V388" ca="1">IF(StatTbl[[#This Row],[Кол-во слотов]]&gt;0, B388&amp;" "&amp;C388&amp;" "&amp;_xlfn.TEXTJOIN(", ",FALSE,TEXT(_xlfn._xlws.FILTER(OFFSET($D$8:$Q$8,0,SearchDay-1,,15-SearchDay),(OFFSET(D388:Q388,0,SearchDay-1,,15-SearchDay)&gt;-1)*(OFFSET(D388:Q388,0,SearchDay-1,,15-SearchDay)&lt;=ValidC)),"ДД/ММ")),"")</f>
        <v/>
      </c>
      <c r="W388" t="str">
        <f t="shared" si="5"/>
        <v>СЦ ШушарыQR-поставка</v>
      </c>
    </row>
    <row r="389" spans="2:23" x14ac:dyDescent="0.45">
      <c r="B389" s="12" t="s">
        <v>101</v>
      </c>
      <c r="C389" s="12" t="s">
        <v>109</v>
      </c>
      <c r="D389" s="35">
        <v>-1</v>
      </c>
      <c r="E389" s="35">
        <v>-1</v>
      </c>
      <c r="F389" s="35">
        <v>-1</v>
      </c>
      <c r="G389" s="35">
        <v>-1</v>
      </c>
      <c r="H389" s="35">
        <v>-1</v>
      </c>
      <c r="I389" s="35">
        <v>-1</v>
      </c>
      <c r="J389" s="35">
        <v>-1</v>
      </c>
      <c r="K389" s="35">
        <v>-1</v>
      </c>
      <c r="L389" s="35">
        <v>-1</v>
      </c>
      <c r="M389" s="35">
        <v>-1</v>
      </c>
      <c r="N389" s="35">
        <v>-1</v>
      </c>
      <c r="O389" s="35">
        <v>-1</v>
      </c>
      <c r="P389" s="35">
        <v>-1</v>
      </c>
      <c r="Q389" s="35">
        <v>-1</v>
      </c>
      <c r="S389" s="5" t="str">
        <f>IF(_xlfn.XLOOKUP(StatTbl[[#This Row],[Join]],TargetSlots[Join],TargetSlots[Join],"Не найдено")&lt;&gt;"Не найдено","Ищем","Не ищем")</f>
        <v>Не ищем</v>
      </c>
      <c r="T389" s="4" t="str">
        <f ca="1">IF(COUNTIFS(OFFSET(D389:$Q389,0,SearchDay-1,,15-SearchDay),"&lt;="&amp; ValidC,OFFSET(D389:$Q389,0,SearchDay-1,,15-SearchDay),"&gt;-1")&gt;0,"Есть слот!","Ничего")</f>
        <v>Ничего</v>
      </c>
      <c r="U389">
        <f ca="1">IF(S389="Ищем",IF(StatTbl[[#This Row],[Доступность]]="Есть слот!",COUNTIFS(OFFSET(D389:$Q389,0,SearchDay-1),"&lt;="&amp; ValidC,OFFSET(D389:$Q389,0,SearchDay-1),"&gt;-1"),0),0)</f>
        <v>0</v>
      </c>
      <c r="V389" t="str" cm="1">
        <f t="array" aca="1" ref="V389" ca="1">IF(StatTbl[[#This Row],[Кол-во слотов]]&gt;0, B389&amp;" "&amp;C389&amp;" "&amp;_xlfn.TEXTJOIN(", ",FALSE,TEXT(_xlfn._xlws.FILTER(OFFSET($D$8:$Q$8,0,SearchDay-1,,15-SearchDay),(OFFSET(D389:Q389,0,SearchDay-1,,15-SearchDay)&gt;-1)*(OFFSET(D389:Q389,0,SearchDay-1,,15-SearchDay)&lt;=ValidC)),"ДД/ММ")),"")</f>
        <v/>
      </c>
      <c r="W389" t="str">
        <f t="shared" si="5"/>
        <v>СЦ ШымкентКороба</v>
      </c>
    </row>
    <row r="390" spans="2:23" x14ac:dyDescent="0.45">
      <c r="B390" s="12" t="s">
        <v>101</v>
      </c>
      <c r="C390" s="12" t="s">
        <v>110</v>
      </c>
      <c r="D390" s="35">
        <v>-1</v>
      </c>
      <c r="E390" s="35">
        <v>-1</v>
      </c>
      <c r="F390" s="35">
        <v>-1</v>
      </c>
      <c r="G390" s="35">
        <v>-1</v>
      </c>
      <c r="H390" s="35">
        <v>-1</v>
      </c>
      <c r="I390" s="35">
        <v>-1</v>
      </c>
      <c r="J390" s="35">
        <v>-1</v>
      </c>
      <c r="K390" s="35">
        <v>-1</v>
      </c>
      <c r="L390" s="35">
        <v>-1</v>
      </c>
      <c r="M390" s="35">
        <v>-1</v>
      </c>
      <c r="N390" s="35">
        <v>-1</v>
      </c>
      <c r="O390" s="35">
        <v>-1</v>
      </c>
      <c r="P390" s="35">
        <v>-1</v>
      </c>
      <c r="Q390" s="35">
        <v>-1</v>
      </c>
      <c r="S390" s="5" t="str">
        <f>IF(_xlfn.XLOOKUP(StatTbl[[#This Row],[Join]],TargetSlots[Join],TargetSlots[Join],"Не найдено")&lt;&gt;"Не найдено","Ищем","Не ищем")</f>
        <v>Не ищем</v>
      </c>
      <c r="T390" s="4" t="str">
        <f ca="1">IF(COUNTIFS(OFFSET(D390:$Q390,0,SearchDay-1,,15-SearchDay),"&lt;="&amp; ValidC,OFFSET(D390:$Q390,0,SearchDay-1,,15-SearchDay),"&gt;-1")&gt;0,"Есть слот!","Ничего")</f>
        <v>Ничего</v>
      </c>
      <c r="U390">
        <f ca="1">IF(S390="Ищем",IF(StatTbl[[#This Row],[Доступность]]="Есть слот!",COUNTIFS(OFFSET(D390:$Q390,0,SearchDay-1),"&lt;="&amp; ValidC,OFFSET(D390:$Q390,0,SearchDay-1),"&gt;-1"),0),0)</f>
        <v>0</v>
      </c>
      <c r="V390" t="str" cm="1">
        <f t="array" aca="1" ref="V390" ca="1">IF(StatTbl[[#This Row],[Кол-во слотов]]&gt;0, B390&amp;" "&amp;C390&amp;" "&amp;_xlfn.TEXTJOIN(", ",FALSE,TEXT(_xlfn._xlws.FILTER(OFFSET($D$8:$Q$8,0,SearchDay-1,,15-SearchDay),(OFFSET(D390:Q390,0,SearchDay-1,,15-SearchDay)&gt;-1)*(OFFSET(D390:Q390,0,SearchDay-1,,15-SearchDay)&lt;=ValidC)),"ДД/ММ")),"")</f>
        <v/>
      </c>
      <c r="W390" t="str">
        <f t="shared" si="5"/>
        <v>СЦ ШымкентМонопаллеты</v>
      </c>
    </row>
    <row r="391" spans="2:23" x14ac:dyDescent="0.45">
      <c r="B391" s="12" t="s">
        <v>101</v>
      </c>
      <c r="C391" s="12" t="s">
        <v>6</v>
      </c>
      <c r="D391" s="35">
        <v>-1</v>
      </c>
      <c r="E391" s="35">
        <v>-1</v>
      </c>
      <c r="F391" s="35">
        <v>-1</v>
      </c>
      <c r="G391" s="35">
        <v>-1</v>
      </c>
      <c r="H391" s="35">
        <v>-1</v>
      </c>
      <c r="I391" s="35">
        <v>-1</v>
      </c>
      <c r="J391" s="35">
        <v>-1</v>
      </c>
      <c r="K391" s="35">
        <v>-1</v>
      </c>
      <c r="L391" s="35">
        <v>-1</v>
      </c>
      <c r="M391" s="35">
        <v>-1</v>
      </c>
      <c r="N391" s="35">
        <v>-1</v>
      </c>
      <c r="O391" s="35">
        <v>-1</v>
      </c>
      <c r="P391" s="35">
        <v>-1</v>
      </c>
      <c r="Q391" s="35">
        <v>-1</v>
      </c>
      <c r="S391" s="5" t="str">
        <f>IF(_xlfn.XLOOKUP(StatTbl[[#This Row],[Join]],TargetSlots[Join],TargetSlots[Join],"Не найдено")&lt;&gt;"Не найдено","Ищем","Не ищем")</f>
        <v>Не ищем</v>
      </c>
      <c r="T391" s="4" t="str">
        <f ca="1">IF(COUNTIFS(OFFSET(D391:$Q391,0,SearchDay-1,,15-SearchDay),"&lt;="&amp; ValidC,OFFSET(D391:$Q391,0,SearchDay-1,,15-SearchDay),"&gt;-1")&gt;0,"Есть слот!","Ничего")</f>
        <v>Ничего</v>
      </c>
      <c r="U391">
        <f ca="1">IF(S391="Ищем",IF(StatTbl[[#This Row],[Доступность]]="Есть слот!",COUNTIFS(OFFSET(D391:$Q391,0,SearchDay-1),"&lt;="&amp; ValidC,OFFSET(D391:$Q391,0,SearchDay-1),"&gt;-1"),0),0)</f>
        <v>0</v>
      </c>
      <c r="V391" t="str" cm="1">
        <f t="array" aca="1" ref="V391" ca="1">IF(StatTbl[[#This Row],[Кол-во слотов]]&gt;0, B391&amp;" "&amp;C391&amp;" "&amp;_xlfn.TEXTJOIN(", ",FALSE,TEXT(_xlfn._xlws.FILTER(OFFSET($D$8:$Q$8,0,SearchDay-1,,15-SearchDay),(OFFSET(D391:Q391,0,SearchDay-1,,15-SearchDay)&gt;-1)*(OFFSET(D391:Q391,0,SearchDay-1,,15-SearchDay)&lt;=ValidC)),"ДД/ММ")),"")</f>
        <v/>
      </c>
      <c r="W391" t="str">
        <f t="shared" si="5"/>
        <v>СЦ ШымкентСуперсейф</v>
      </c>
    </row>
    <row r="392" spans="2:23" x14ac:dyDescent="0.45">
      <c r="B392" s="12" t="s">
        <v>101</v>
      </c>
      <c r="C392" s="12" t="s">
        <v>111</v>
      </c>
      <c r="D392" s="35">
        <v>-1</v>
      </c>
      <c r="E392" s="35">
        <v>-1</v>
      </c>
      <c r="F392" s="35">
        <v>-1</v>
      </c>
      <c r="G392" s="35">
        <v>-1</v>
      </c>
      <c r="H392" s="35">
        <v>-1</v>
      </c>
      <c r="I392" s="35">
        <v>-1</v>
      </c>
      <c r="J392" s="35">
        <v>-1</v>
      </c>
      <c r="K392" s="35">
        <v>-1</v>
      </c>
      <c r="L392" s="35">
        <v>-1</v>
      </c>
      <c r="M392" s="35">
        <v>-1</v>
      </c>
      <c r="N392" s="35">
        <v>-1</v>
      </c>
      <c r="O392" s="35">
        <v>-1</v>
      </c>
      <c r="P392" s="35">
        <v>-1</v>
      </c>
      <c r="Q392" s="35">
        <v>-1</v>
      </c>
      <c r="S392" s="5" t="str">
        <f>IF(_xlfn.XLOOKUP(StatTbl[[#This Row],[Join]],TargetSlots[Join],TargetSlots[Join],"Не найдено")&lt;&gt;"Не найдено","Ищем","Не ищем")</f>
        <v>Не ищем</v>
      </c>
      <c r="T392" s="4" t="str">
        <f ca="1">IF(COUNTIFS(OFFSET(D392:$Q392,0,SearchDay-1,,15-SearchDay),"&lt;="&amp; ValidC,OFFSET(D392:$Q392,0,SearchDay-1,,15-SearchDay),"&gt;-1")&gt;0,"Есть слот!","Ничего")</f>
        <v>Ничего</v>
      </c>
      <c r="U392">
        <f ca="1">IF(S392="Ищем",IF(StatTbl[[#This Row],[Доступность]]="Есть слот!",COUNTIFS(OFFSET(D392:$Q392,0,SearchDay-1),"&lt;="&amp; ValidC,OFFSET(D392:$Q392,0,SearchDay-1),"&gt;-1"),0),0)</f>
        <v>0</v>
      </c>
      <c r="V392" t="str" cm="1">
        <f t="array" aca="1" ref="V392" ca="1">IF(StatTbl[[#This Row],[Кол-во слотов]]&gt;0, B392&amp;" "&amp;C392&amp;" "&amp;_xlfn.TEXTJOIN(", ",FALSE,TEXT(_xlfn._xlws.FILTER(OFFSET($D$8:$Q$8,0,SearchDay-1,,15-SearchDay),(OFFSET(D392:Q392,0,SearchDay-1,,15-SearchDay)&gt;-1)*(OFFSET(D392:Q392,0,SearchDay-1,,15-SearchDay)&lt;=ValidC)),"ДД/ММ")),"")</f>
        <v/>
      </c>
      <c r="W392" t="str">
        <f t="shared" si="5"/>
        <v>СЦ ШымкентQR-поставка</v>
      </c>
    </row>
    <row r="393" spans="2:23" x14ac:dyDescent="0.45">
      <c r="B393" s="12" t="s">
        <v>102</v>
      </c>
      <c r="C393" s="12" t="s">
        <v>109</v>
      </c>
      <c r="D393" s="35">
        <v>20</v>
      </c>
      <c r="E393" s="35">
        <v>20</v>
      </c>
      <c r="F393" s="35">
        <v>20</v>
      </c>
      <c r="G393" s="35">
        <v>20</v>
      </c>
      <c r="H393" s="35">
        <v>20</v>
      </c>
      <c r="I393" s="35">
        <v>20</v>
      </c>
      <c r="J393" s="35">
        <v>20</v>
      </c>
      <c r="K393" s="35">
        <v>20</v>
      </c>
      <c r="L393" s="35">
        <v>20</v>
      </c>
      <c r="M393" s="35">
        <v>20</v>
      </c>
      <c r="N393" s="35">
        <v>20</v>
      </c>
      <c r="O393" s="35">
        <v>20</v>
      </c>
      <c r="P393" s="35">
        <v>20</v>
      </c>
      <c r="Q393" s="35">
        <v>20</v>
      </c>
      <c r="S393" s="5" t="str">
        <f>IF(_xlfn.XLOOKUP(StatTbl[[#This Row],[Join]],TargetSlots[Join],TargetSlots[Join],"Не найдено")&lt;&gt;"Не найдено","Ищем","Не ищем")</f>
        <v>Не ищем</v>
      </c>
      <c r="T393" s="4" t="str">
        <f ca="1">IF(COUNTIFS(OFFSET(D393:$Q393,0,SearchDay-1,,15-SearchDay),"&lt;="&amp; ValidC,OFFSET(D393:$Q393,0,SearchDay-1,,15-SearchDay),"&gt;-1")&gt;0,"Есть слот!","Ничего")</f>
        <v>Ничего</v>
      </c>
      <c r="U393">
        <f ca="1">IF(S393="Ищем",IF(StatTbl[[#This Row],[Доступность]]="Есть слот!",COUNTIFS(OFFSET(D393:$Q393,0,SearchDay-1),"&lt;="&amp; ValidC,OFFSET(D393:$Q393,0,SearchDay-1),"&gt;-1"),0),0)</f>
        <v>0</v>
      </c>
      <c r="V393" t="str" cm="1">
        <f t="array" aca="1" ref="V393" ca="1">IF(StatTbl[[#This Row],[Кол-во слотов]]&gt;0, B393&amp;" "&amp;C393&amp;" "&amp;_xlfn.TEXTJOIN(", ",FALSE,TEXT(_xlfn._xlws.FILTER(OFFSET($D$8:$Q$8,0,SearchDay-1,,15-SearchDay),(OFFSET(D393:Q393,0,SearchDay-1,,15-SearchDay)&gt;-1)*(OFFSET(D393:Q393,0,SearchDay-1,,15-SearchDay)&lt;=ValidC)),"ДД/ММ")),"")</f>
        <v/>
      </c>
      <c r="W393" t="str">
        <f t="shared" ref="W393:W424" si="6">B393&amp;C393</f>
        <v>СЦ ЯрославльКороба</v>
      </c>
    </row>
    <row r="394" spans="2:23" x14ac:dyDescent="0.45">
      <c r="B394" s="12" t="s">
        <v>102</v>
      </c>
      <c r="C394" s="12" t="s">
        <v>110</v>
      </c>
      <c r="D394" s="35">
        <v>-1</v>
      </c>
      <c r="E394" s="35">
        <v>-1</v>
      </c>
      <c r="F394" s="35">
        <v>-1</v>
      </c>
      <c r="G394" s="35">
        <v>-1</v>
      </c>
      <c r="H394" s="35">
        <v>-1</v>
      </c>
      <c r="I394" s="35">
        <v>-1</v>
      </c>
      <c r="J394" s="35">
        <v>-1</v>
      </c>
      <c r="K394" s="35">
        <v>-1</v>
      </c>
      <c r="L394" s="35">
        <v>-1</v>
      </c>
      <c r="M394" s="35">
        <v>-1</v>
      </c>
      <c r="N394" s="35">
        <v>-1</v>
      </c>
      <c r="O394" s="35">
        <v>-1</v>
      </c>
      <c r="P394" s="35">
        <v>-1</v>
      </c>
      <c r="Q394" s="35">
        <v>-1</v>
      </c>
      <c r="S394" s="5" t="str">
        <f>IF(_xlfn.XLOOKUP(StatTbl[[#This Row],[Join]],TargetSlots[Join],TargetSlots[Join],"Не найдено")&lt;&gt;"Не найдено","Ищем","Не ищем")</f>
        <v>Не ищем</v>
      </c>
      <c r="T394" s="4" t="str">
        <f ca="1">IF(COUNTIFS(OFFSET(D394:$Q394,0,SearchDay-1,,15-SearchDay),"&lt;="&amp; ValidC,OFFSET(D394:$Q394,0,SearchDay-1,,15-SearchDay),"&gt;-1")&gt;0,"Есть слот!","Ничего")</f>
        <v>Ничего</v>
      </c>
      <c r="U394">
        <f ca="1">IF(S394="Ищем",IF(StatTbl[[#This Row],[Доступность]]="Есть слот!",COUNTIFS(OFFSET(D394:$Q394,0,SearchDay-1),"&lt;="&amp; ValidC,OFFSET(D394:$Q394,0,SearchDay-1),"&gt;-1"),0),0)</f>
        <v>0</v>
      </c>
      <c r="V394" t="str" cm="1">
        <f t="array" aca="1" ref="V394" ca="1">IF(StatTbl[[#This Row],[Кол-во слотов]]&gt;0, B394&amp;" "&amp;C394&amp;" "&amp;_xlfn.TEXTJOIN(", ",FALSE,TEXT(_xlfn._xlws.FILTER(OFFSET($D$8:$Q$8,0,SearchDay-1,,15-SearchDay),(OFFSET(D394:Q394,0,SearchDay-1,,15-SearchDay)&gt;-1)*(OFFSET(D394:Q394,0,SearchDay-1,,15-SearchDay)&lt;=ValidC)),"ДД/ММ")),"")</f>
        <v/>
      </c>
      <c r="W394" t="str">
        <f t="shared" si="6"/>
        <v>СЦ ЯрославльМонопаллеты</v>
      </c>
    </row>
    <row r="395" spans="2:23" x14ac:dyDescent="0.45">
      <c r="B395" s="12" t="s">
        <v>102</v>
      </c>
      <c r="C395" s="12" t="s">
        <v>6</v>
      </c>
      <c r="D395" s="35">
        <v>-1</v>
      </c>
      <c r="E395" s="35">
        <v>-1</v>
      </c>
      <c r="F395" s="35">
        <v>-1</v>
      </c>
      <c r="G395" s="35">
        <v>-1</v>
      </c>
      <c r="H395" s="35">
        <v>-1</v>
      </c>
      <c r="I395" s="35">
        <v>-1</v>
      </c>
      <c r="J395" s="35">
        <v>-1</v>
      </c>
      <c r="K395" s="35">
        <v>-1</v>
      </c>
      <c r="L395" s="35">
        <v>-1</v>
      </c>
      <c r="M395" s="35">
        <v>-1</v>
      </c>
      <c r="N395" s="35">
        <v>-1</v>
      </c>
      <c r="O395" s="35">
        <v>-1</v>
      </c>
      <c r="P395" s="35">
        <v>-1</v>
      </c>
      <c r="Q395" s="35">
        <v>-1</v>
      </c>
      <c r="S395" s="5" t="str">
        <f>IF(_xlfn.XLOOKUP(StatTbl[[#This Row],[Join]],TargetSlots[Join],TargetSlots[Join],"Не найдено")&lt;&gt;"Не найдено","Ищем","Не ищем")</f>
        <v>Не ищем</v>
      </c>
      <c r="T395" s="4" t="str">
        <f ca="1">IF(COUNTIFS(OFFSET(D395:$Q395,0,SearchDay-1,,15-SearchDay),"&lt;="&amp; ValidC,OFFSET(D395:$Q395,0,SearchDay-1,,15-SearchDay),"&gt;-1")&gt;0,"Есть слот!","Ничего")</f>
        <v>Ничего</v>
      </c>
      <c r="U395">
        <f ca="1">IF(S395="Ищем",IF(StatTbl[[#This Row],[Доступность]]="Есть слот!",COUNTIFS(OFFSET(D395:$Q395,0,SearchDay-1),"&lt;="&amp; ValidC,OFFSET(D395:$Q395,0,SearchDay-1),"&gt;-1"),0),0)</f>
        <v>0</v>
      </c>
      <c r="V395" t="str" cm="1">
        <f t="array" aca="1" ref="V395" ca="1">IF(StatTbl[[#This Row],[Кол-во слотов]]&gt;0, B395&amp;" "&amp;C395&amp;" "&amp;_xlfn.TEXTJOIN(", ",FALSE,TEXT(_xlfn._xlws.FILTER(OFFSET($D$8:$Q$8,0,SearchDay-1,,15-SearchDay),(OFFSET(D395:Q395,0,SearchDay-1,,15-SearchDay)&gt;-1)*(OFFSET(D395:Q395,0,SearchDay-1,,15-SearchDay)&lt;=ValidC)),"ДД/ММ")),"")</f>
        <v/>
      </c>
      <c r="W395" t="str">
        <f t="shared" si="6"/>
        <v>СЦ ЯрославльСуперсейф</v>
      </c>
    </row>
    <row r="396" spans="2:23" x14ac:dyDescent="0.45">
      <c r="B396" s="12" t="s">
        <v>102</v>
      </c>
      <c r="C396" s="12" t="s">
        <v>111</v>
      </c>
      <c r="D396" s="35">
        <v>20</v>
      </c>
      <c r="E396" s="35">
        <v>20</v>
      </c>
      <c r="F396" s="35">
        <v>20</v>
      </c>
      <c r="G396" s="35">
        <v>20</v>
      </c>
      <c r="H396" s="35">
        <v>20</v>
      </c>
      <c r="I396" s="35">
        <v>20</v>
      </c>
      <c r="J396" s="35">
        <v>20</v>
      </c>
      <c r="K396" s="35">
        <v>20</v>
      </c>
      <c r="L396" s="35">
        <v>20</v>
      </c>
      <c r="M396" s="35">
        <v>20</v>
      </c>
      <c r="N396" s="35">
        <v>20</v>
      </c>
      <c r="O396" s="35">
        <v>-1</v>
      </c>
      <c r="P396" s="35">
        <v>-1</v>
      </c>
      <c r="Q396" s="35">
        <v>-1</v>
      </c>
      <c r="S396" s="5" t="str">
        <f>IF(_xlfn.XLOOKUP(StatTbl[[#This Row],[Join]],TargetSlots[Join],TargetSlots[Join],"Не найдено")&lt;&gt;"Не найдено","Ищем","Не ищем")</f>
        <v>Не ищем</v>
      </c>
      <c r="T396" s="4" t="str">
        <f ca="1">IF(COUNTIFS(OFFSET(D396:$Q396,0,SearchDay-1,,15-SearchDay),"&lt;="&amp; ValidC,OFFSET(D396:$Q396,0,SearchDay-1,,15-SearchDay),"&gt;-1")&gt;0,"Есть слот!","Ничего")</f>
        <v>Ничего</v>
      </c>
      <c r="U396">
        <f ca="1">IF(S396="Ищем",IF(StatTbl[[#This Row],[Доступность]]="Есть слот!",COUNTIFS(OFFSET(D396:$Q396,0,SearchDay-1),"&lt;="&amp; ValidC,OFFSET(D396:$Q396,0,SearchDay-1),"&gt;-1"),0),0)</f>
        <v>0</v>
      </c>
      <c r="V396" t="str" cm="1">
        <f t="array" aca="1" ref="V396" ca="1">IF(StatTbl[[#This Row],[Кол-во слотов]]&gt;0, B396&amp;" "&amp;C396&amp;" "&amp;_xlfn.TEXTJOIN(", ",FALSE,TEXT(_xlfn._xlws.FILTER(OFFSET($D$8:$Q$8,0,SearchDay-1,,15-SearchDay),(OFFSET(D396:Q396,0,SearchDay-1,,15-SearchDay)&gt;-1)*(OFFSET(D396:Q396,0,SearchDay-1,,15-SearchDay)&lt;=ValidC)),"ДД/ММ")),"")</f>
        <v/>
      </c>
      <c r="W396" t="str">
        <f t="shared" si="6"/>
        <v>СЦ ЯрославльQR-поставка</v>
      </c>
    </row>
    <row r="397" spans="2:23" x14ac:dyDescent="0.45">
      <c r="B397" s="12" t="s">
        <v>103</v>
      </c>
      <c r="C397" s="12" t="s">
        <v>109</v>
      </c>
      <c r="D397" s="35">
        <v>-1</v>
      </c>
      <c r="E397" s="35">
        <v>-1</v>
      </c>
      <c r="F397" s="35">
        <v>-1</v>
      </c>
      <c r="G397" s="35">
        <v>-1</v>
      </c>
      <c r="H397" s="35">
        <v>-1</v>
      </c>
      <c r="I397" s="35">
        <v>-1</v>
      </c>
      <c r="J397" s="35">
        <v>-1</v>
      </c>
      <c r="K397" s="35">
        <v>-1</v>
      </c>
      <c r="L397" s="35">
        <v>-1</v>
      </c>
      <c r="M397" s="35">
        <v>-1</v>
      </c>
      <c r="N397" s="35">
        <v>-1</v>
      </c>
      <c r="O397" s="35">
        <v>-1</v>
      </c>
      <c r="P397" s="35">
        <v>-1</v>
      </c>
      <c r="Q397" s="35">
        <v>-1</v>
      </c>
      <c r="S397" s="5" t="str">
        <f>IF(_xlfn.XLOOKUP(StatTbl[[#This Row],[Join]],TargetSlots[Join],TargetSlots[Join],"Не найдено")&lt;&gt;"Не найдено","Ищем","Не ищем")</f>
        <v>Не ищем</v>
      </c>
      <c r="T397" s="4" t="str">
        <f ca="1">IF(COUNTIFS(OFFSET(D397:$Q397,0,SearchDay-1,,15-SearchDay),"&lt;="&amp; ValidC,OFFSET(D397:$Q397,0,SearchDay-1,,15-SearchDay),"&gt;-1")&gt;0,"Есть слот!","Ничего")</f>
        <v>Ничего</v>
      </c>
      <c r="U397">
        <f ca="1">IF(S397="Ищем",IF(StatTbl[[#This Row],[Доступность]]="Есть слот!",COUNTIFS(OFFSET(D397:$Q397,0,SearchDay-1),"&lt;="&amp; ValidC,OFFSET(D397:$Q397,0,SearchDay-1),"&gt;-1"),0),0)</f>
        <v>0</v>
      </c>
      <c r="V397" t="str" cm="1">
        <f t="array" aca="1" ref="V397" ca="1">IF(StatTbl[[#This Row],[Кол-во слотов]]&gt;0, B397&amp;" "&amp;C397&amp;" "&amp;_xlfn.TEXTJOIN(", ",FALSE,TEXT(_xlfn._xlws.FILTER(OFFSET($D$8:$Q$8,0,SearchDay-1,,15-SearchDay),(OFFSET(D397:Q397,0,SearchDay-1,,15-SearchDay)&gt;-1)*(OFFSET(D397:Q397,0,SearchDay-1,,15-SearchDay)&lt;=ValidC)),"ДД/ММ")),"")</f>
        <v/>
      </c>
      <c r="W397" t="str">
        <f t="shared" si="6"/>
        <v>ТулаКороба</v>
      </c>
    </row>
    <row r="398" spans="2:23" x14ac:dyDescent="0.45">
      <c r="B398" s="12" t="s">
        <v>103</v>
      </c>
      <c r="C398" s="12" t="s">
        <v>110</v>
      </c>
      <c r="D398" s="35">
        <v>-1</v>
      </c>
      <c r="E398" s="35">
        <v>-1</v>
      </c>
      <c r="F398" s="35">
        <v>-1</v>
      </c>
      <c r="G398" s="35">
        <v>-1</v>
      </c>
      <c r="H398" s="35">
        <v>-1</v>
      </c>
      <c r="I398" s="35">
        <v>-1</v>
      </c>
      <c r="J398" s="35">
        <v>-1</v>
      </c>
      <c r="K398" s="35">
        <v>-1</v>
      </c>
      <c r="L398" s="35">
        <v>-1</v>
      </c>
      <c r="M398" s="35">
        <v>-1</v>
      </c>
      <c r="N398" s="35">
        <v>-1</v>
      </c>
      <c r="O398" s="35">
        <v>-1</v>
      </c>
      <c r="P398" s="35">
        <v>-1</v>
      </c>
      <c r="Q398" s="35">
        <v>-1</v>
      </c>
      <c r="S398" s="5" t="str">
        <f>IF(_xlfn.XLOOKUP(StatTbl[[#This Row],[Join]],TargetSlots[Join],TargetSlots[Join],"Не найдено")&lt;&gt;"Не найдено","Ищем","Не ищем")</f>
        <v>Не ищем</v>
      </c>
      <c r="T398" s="4" t="str">
        <f ca="1">IF(COUNTIFS(OFFSET(D398:$Q398,0,SearchDay-1,,15-SearchDay),"&lt;="&amp; ValidC,OFFSET(D398:$Q398,0,SearchDay-1,,15-SearchDay),"&gt;-1")&gt;0,"Есть слот!","Ничего")</f>
        <v>Ничего</v>
      </c>
      <c r="U398">
        <f ca="1">IF(S398="Ищем",IF(StatTbl[[#This Row],[Доступность]]="Есть слот!",COUNTIFS(OFFSET(D398:$Q398,0,SearchDay-1),"&lt;="&amp; ValidC,OFFSET(D398:$Q398,0,SearchDay-1),"&gt;-1"),0),0)</f>
        <v>0</v>
      </c>
      <c r="V398" t="str" cm="1">
        <f t="array" aca="1" ref="V398" ca="1">IF(StatTbl[[#This Row],[Кол-во слотов]]&gt;0, B398&amp;" "&amp;C398&amp;" "&amp;_xlfn.TEXTJOIN(", ",FALSE,TEXT(_xlfn._xlws.FILTER(OFFSET($D$8:$Q$8,0,SearchDay-1,,15-SearchDay),(OFFSET(D398:Q398,0,SearchDay-1,,15-SearchDay)&gt;-1)*(OFFSET(D398:Q398,0,SearchDay-1,,15-SearchDay)&lt;=ValidC)),"ДД/ММ")),"")</f>
        <v/>
      </c>
      <c r="W398" t="str">
        <f t="shared" si="6"/>
        <v>ТулаМонопаллеты</v>
      </c>
    </row>
    <row r="399" spans="2:23" x14ac:dyDescent="0.45">
      <c r="B399" s="12" t="s">
        <v>103</v>
      </c>
      <c r="C399" s="12" t="s">
        <v>6</v>
      </c>
      <c r="D399" s="35">
        <v>-1</v>
      </c>
      <c r="E399" s="35">
        <v>-1</v>
      </c>
      <c r="F399" s="35">
        <v>-1</v>
      </c>
      <c r="G399" s="35">
        <v>-1</v>
      </c>
      <c r="H399" s="35">
        <v>-1</v>
      </c>
      <c r="I399" s="35">
        <v>-1</v>
      </c>
      <c r="J399" s="35">
        <v>-1</v>
      </c>
      <c r="K399" s="35">
        <v>-1</v>
      </c>
      <c r="L399" s="35">
        <v>-1</v>
      </c>
      <c r="M399" s="35">
        <v>-1</v>
      </c>
      <c r="N399" s="35">
        <v>-1</v>
      </c>
      <c r="O399" s="35">
        <v>-1</v>
      </c>
      <c r="P399" s="35">
        <v>-1</v>
      </c>
      <c r="Q399" s="35">
        <v>-1</v>
      </c>
      <c r="S399" s="5" t="str">
        <f>IF(_xlfn.XLOOKUP(StatTbl[[#This Row],[Join]],TargetSlots[Join],TargetSlots[Join],"Не найдено")&lt;&gt;"Не найдено","Ищем","Не ищем")</f>
        <v>Не ищем</v>
      </c>
      <c r="T399" s="4" t="str">
        <f ca="1">IF(COUNTIFS(OFFSET(D399:$Q399,0,SearchDay-1,,15-SearchDay),"&lt;="&amp; ValidC,OFFSET(D399:$Q399,0,SearchDay-1,,15-SearchDay),"&gt;-1")&gt;0,"Есть слот!","Ничего")</f>
        <v>Ничего</v>
      </c>
      <c r="U399">
        <f ca="1">IF(S399="Ищем",IF(StatTbl[[#This Row],[Доступность]]="Есть слот!",COUNTIFS(OFFSET(D399:$Q399,0,SearchDay-1),"&lt;="&amp; ValidC,OFFSET(D399:$Q399,0,SearchDay-1),"&gt;-1"),0),0)</f>
        <v>0</v>
      </c>
      <c r="V399" t="str" cm="1">
        <f t="array" aca="1" ref="V399" ca="1">IF(StatTbl[[#This Row],[Кол-во слотов]]&gt;0, B399&amp;" "&amp;C399&amp;" "&amp;_xlfn.TEXTJOIN(", ",FALSE,TEXT(_xlfn._xlws.FILTER(OFFSET($D$8:$Q$8,0,SearchDay-1,,15-SearchDay),(OFFSET(D399:Q399,0,SearchDay-1,,15-SearchDay)&gt;-1)*(OFFSET(D399:Q399,0,SearchDay-1,,15-SearchDay)&lt;=ValidC)),"ДД/ММ")),"")</f>
        <v/>
      </c>
      <c r="W399" t="str">
        <f t="shared" si="6"/>
        <v>ТулаСуперсейф</v>
      </c>
    </row>
    <row r="400" spans="2:23" x14ac:dyDescent="0.45">
      <c r="B400" s="12" t="s">
        <v>103</v>
      </c>
      <c r="C400" s="12" t="s">
        <v>111</v>
      </c>
      <c r="D400" s="35">
        <v>-1</v>
      </c>
      <c r="E400" s="35">
        <v>-1</v>
      </c>
      <c r="F400" s="35">
        <v>-1</v>
      </c>
      <c r="G400" s="35">
        <v>-1</v>
      </c>
      <c r="H400" s="35">
        <v>-1</v>
      </c>
      <c r="I400" s="35">
        <v>-1</v>
      </c>
      <c r="J400" s="35">
        <v>-1</v>
      </c>
      <c r="K400" s="35">
        <v>-1</v>
      </c>
      <c r="L400" s="35">
        <v>-1</v>
      </c>
      <c r="M400" s="35">
        <v>-1</v>
      </c>
      <c r="N400" s="35">
        <v>-1</v>
      </c>
      <c r="O400" s="35">
        <v>-1</v>
      </c>
      <c r="P400" s="35">
        <v>-1</v>
      </c>
      <c r="Q400" s="35">
        <v>-1</v>
      </c>
      <c r="S400" s="5" t="str">
        <f>IF(_xlfn.XLOOKUP(StatTbl[[#This Row],[Join]],TargetSlots[Join],TargetSlots[Join],"Не найдено")&lt;&gt;"Не найдено","Ищем","Не ищем")</f>
        <v>Не ищем</v>
      </c>
      <c r="T400" s="4" t="str">
        <f ca="1">IF(COUNTIFS(OFFSET(D400:$Q400,0,SearchDay-1,,15-SearchDay),"&lt;="&amp; ValidC,OFFSET(D400:$Q400,0,SearchDay-1,,15-SearchDay),"&gt;-1")&gt;0,"Есть слот!","Ничего")</f>
        <v>Ничего</v>
      </c>
      <c r="U400">
        <f ca="1">IF(S400="Ищем",IF(StatTbl[[#This Row],[Доступность]]="Есть слот!",COUNTIFS(OFFSET(D400:$Q400,0,SearchDay-1),"&lt;="&amp; ValidC,OFFSET(D400:$Q400,0,SearchDay-1),"&gt;-1"),0),0)</f>
        <v>0</v>
      </c>
      <c r="V400" t="str" cm="1">
        <f t="array" aca="1" ref="V400" ca="1">IF(StatTbl[[#This Row],[Кол-во слотов]]&gt;0, B400&amp;" "&amp;C400&amp;" "&amp;_xlfn.TEXTJOIN(", ",FALSE,TEXT(_xlfn._xlws.FILTER(OFFSET($D$8:$Q$8,0,SearchDay-1,,15-SearchDay),(OFFSET(D400:Q400,0,SearchDay-1,,15-SearchDay)&gt;-1)*(OFFSET(D400:Q400,0,SearchDay-1,,15-SearchDay)&lt;=ValidC)),"ДД/ММ")),"")</f>
        <v/>
      </c>
      <c r="W400" t="str">
        <f t="shared" si="6"/>
        <v>ТулаQR-поставка</v>
      </c>
    </row>
    <row r="401" spans="2:23" x14ac:dyDescent="0.45">
      <c r="B401" s="12" t="s">
        <v>104</v>
      </c>
      <c r="C401" s="12" t="s">
        <v>109</v>
      </c>
      <c r="D401" s="35">
        <v>-1</v>
      </c>
      <c r="E401" s="35">
        <v>-1</v>
      </c>
      <c r="F401" s="35">
        <v>-1</v>
      </c>
      <c r="G401" s="35">
        <v>-1</v>
      </c>
      <c r="H401" s="35">
        <v>-1</v>
      </c>
      <c r="I401" s="35">
        <v>-1</v>
      </c>
      <c r="J401" s="35">
        <v>-1</v>
      </c>
      <c r="K401" s="35">
        <v>-1</v>
      </c>
      <c r="L401" s="35">
        <v>-1</v>
      </c>
      <c r="M401" s="35">
        <v>-1</v>
      </c>
      <c r="N401" s="35">
        <v>-1</v>
      </c>
      <c r="O401" s="35">
        <v>-1</v>
      </c>
      <c r="P401" s="35">
        <v>-1</v>
      </c>
      <c r="Q401" s="35">
        <v>-1</v>
      </c>
      <c r="S401" s="5" t="str">
        <f>IF(_xlfn.XLOOKUP(StatTbl[[#This Row],[Join]],TargetSlots[Join],TargetSlots[Join],"Не найдено")&lt;&gt;"Не найдено","Ищем","Не ищем")</f>
        <v>Не ищем</v>
      </c>
      <c r="T401" s="4" t="str">
        <f ca="1">IF(COUNTIFS(OFFSET(D401:$Q401,0,SearchDay-1,,15-SearchDay),"&lt;="&amp; ValidC,OFFSET(D401:$Q401,0,SearchDay-1,,15-SearchDay),"&gt;-1")&gt;0,"Есть слот!","Ничего")</f>
        <v>Ничего</v>
      </c>
      <c r="U401">
        <f ca="1">IF(S401="Ищем",IF(StatTbl[[#This Row],[Доступность]]="Есть слот!",COUNTIFS(OFFSET(D401:$Q401,0,SearchDay-1),"&lt;="&amp; ValidC,OFFSET(D401:$Q401,0,SearchDay-1),"&gt;-1"),0),0)</f>
        <v>0</v>
      </c>
      <c r="V401" t="str" cm="1">
        <f t="array" aca="1" ref="V401" ca="1">IF(StatTbl[[#This Row],[Кол-во слотов]]&gt;0, B401&amp;" "&amp;C401&amp;" "&amp;_xlfn.TEXTJOIN(", ",FALSE,TEXT(_xlfn._xlws.FILTER(OFFSET($D$8:$Q$8,0,SearchDay-1,,15-SearchDay),(OFFSET(D401:Q401,0,SearchDay-1,,15-SearchDay)&gt;-1)*(OFFSET(D401:Q401,0,SearchDay-1,,15-SearchDay)&lt;=ValidC)),"ДД/ММ")),"")</f>
        <v/>
      </c>
      <c r="W401" t="str">
        <f t="shared" si="6"/>
        <v>ЧашниковоКороба</v>
      </c>
    </row>
    <row r="402" spans="2:23" x14ac:dyDescent="0.45">
      <c r="B402" s="12" t="s">
        <v>104</v>
      </c>
      <c r="C402" s="12" t="s">
        <v>110</v>
      </c>
      <c r="D402" s="35">
        <v>-1</v>
      </c>
      <c r="E402" s="35">
        <v>-1</v>
      </c>
      <c r="F402" s="35">
        <v>-1</v>
      </c>
      <c r="G402" s="35">
        <v>-1</v>
      </c>
      <c r="H402" s="35">
        <v>-1</v>
      </c>
      <c r="I402" s="35">
        <v>-1</v>
      </c>
      <c r="J402" s="35">
        <v>-1</v>
      </c>
      <c r="K402" s="35">
        <v>-1</v>
      </c>
      <c r="L402" s="35">
        <v>-1</v>
      </c>
      <c r="M402" s="35">
        <v>-1</v>
      </c>
      <c r="N402" s="35">
        <v>-1</v>
      </c>
      <c r="O402" s="35">
        <v>-1</v>
      </c>
      <c r="P402" s="35">
        <v>-1</v>
      </c>
      <c r="Q402" s="35">
        <v>-1</v>
      </c>
      <c r="S402" s="5" t="str">
        <f>IF(_xlfn.XLOOKUP(StatTbl[[#This Row],[Join]],TargetSlots[Join],TargetSlots[Join],"Не найдено")&lt;&gt;"Не найдено","Ищем","Не ищем")</f>
        <v>Не ищем</v>
      </c>
      <c r="T402" s="4" t="str">
        <f ca="1">IF(COUNTIFS(OFFSET(D402:$Q402,0,SearchDay-1,,15-SearchDay),"&lt;="&amp; ValidC,OFFSET(D402:$Q402,0,SearchDay-1,,15-SearchDay),"&gt;-1")&gt;0,"Есть слот!","Ничего")</f>
        <v>Ничего</v>
      </c>
      <c r="U402">
        <f ca="1">IF(S402="Ищем",IF(StatTbl[[#This Row],[Доступность]]="Есть слот!",COUNTIFS(OFFSET(D402:$Q402,0,SearchDay-1),"&lt;="&amp; ValidC,OFFSET(D402:$Q402,0,SearchDay-1),"&gt;-1"),0),0)</f>
        <v>0</v>
      </c>
      <c r="V402" t="str" cm="1">
        <f t="array" aca="1" ref="V402" ca="1">IF(StatTbl[[#This Row],[Кол-во слотов]]&gt;0, B402&amp;" "&amp;C402&amp;" "&amp;_xlfn.TEXTJOIN(", ",FALSE,TEXT(_xlfn._xlws.FILTER(OFFSET($D$8:$Q$8,0,SearchDay-1,,15-SearchDay),(OFFSET(D402:Q402,0,SearchDay-1,,15-SearchDay)&gt;-1)*(OFFSET(D402:Q402,0,SearchDay-1,,15-SearchDay)&lt;=ValidC)),"ДД/ММ")),"")</f>
        <v/>
      </c>
      <c r="W402" t="str">
        <f t="shared" si="6"/>
        <v>ЧашниковоМонопаллеты</v>
      </c>
    </row>
    <row r="403" spans="2:23" x14ac:dyDescent="0.45">
      <c r="B403" s="12" t="s">
        <v>104</v>
      </c>
      <c r="C403" s="12" t="s">
        <v>6</v>
      </c>
      <c r="D403" s="35">
        <v>-1</v>
      </c>
      <c r="E403" s="35">
        <v>-1</v>
      </c>
      <c r="F403" s="35">
        <v>-1</v>
      </c>
      <c r="G403" s="35">
        <v>-1</v>
      </c>
      <c r="H403" s="35">
        <v>-1</v>
      </c>
      <c r="I403" s="35">
        <v>-1</v>
      </c>
      <c r="J403" s="35">
        <v>-1</v>
      </c>
      <c r="K403" s="35">
        <v>-1</v>
      </c>
      <c r="L403" s="35">
        <v>-1</v>
      </c>
      <c r="M403" s="35">
        <v>-1</v>
      </c>
      <c r="N403" s="35">
        <v>-1</v>
      </c>
      <c r="O403" s="35">
        <v>-1</v>
      </c>
      <c r="P403" s="35">
        <v>-1</v>
      </c>
      <c r="Q403" s="35">
        <v>-1</v>
      </c>
      <c r="S403" s="5" t="str">
        <f>IF(_xlfn.XLOOKUP(StatTbl[[#This Row],[Join]],TargetSlots[Join],TargetSlots[Join],"Не найдено")&lt;&gt;"Не найдено","Ищем","Не ищем")</f>
        <v>Не ищем</v>
      </c>
      <c r="T403" s="4" t="str">
        <f ca="1">IF(COUNTIFS(OFFSET(D403:$Q403,0,SearchDay-1,,15-SearchDay),"&lt;="&amp; ValidC,OFFSET(D403:$Q403,0,SearchDay-1,,15-SearchDay),"&gt;-1")&gt;0,"Есть слот!","Ничего")</f>
        <v>Ничего</v>
      </c>
      <c r="U403">
        <f ca="1">IF(S403="Ищем",IF(StatTbl[[#This Row],[Доступность]]="Есть слот!",COUNTIFS(OFFSET(D403:$Q403,0,SearchDay-1),"&lt;="&amp; ValidC,OFFSET(D403:$Q403,0,SearchDay-1),"&gt;-1"),0),0)</f>
        <v>0</v>
      </c>
      <c r="V403" t="str" cm="1">
        <f t="array" aca="1" ref="V403" ca="1">IF(StatTbl[[#This Row],[Кол-во слотов]]&gt;0, B403&amp;" "&amp;C403&amp;" "&amp;_xlfn.TEXTJOIN(", ",FALSE,TEXT(_xlfn._xlws.FILTER(OFFSET($D$8:$Q$8,0,SearchDay-1,,15-SearchDay),(OFFSET(D403:Q403,0,SearchDay-1,,15-SearchDay)&gt;-1)*(OFFSET(D403:Q403,0,SearchDay-1,,15-SearchDay)&lt;=ValidC)),"ДД/ММ")),"")</f>
        <v/>
      </c>
      <c r="W403" t="str">
        <f t="shared" si="6"/>
        <v>ЧашниковоСуперсейф</v>
      </c>
    </row>
    <row r="404" spans="2:23" x14ac:dyDescent="0.45">
      <c r="B404" s="12" t="s">
        <v>104</v>
      </c>
      <c r="C404" s="12" t="s">
        <v>111</v>
      </c>
      <c r="D404" s="35">
        <v>-1</v>
      </c>
      <c r="E404" s="35">
        <v>-1</v>
      </c>
      <c r="F404" s="35">
        <v>-1</v>
      </c>
      <c r="G404" s="35">
        <v>-1</v>
      </c>
      <c r="H404" s="35">
        <v>-1</v>
      </c>
      <c r="I404" s="35">
        <v>-1</v>
      </c>
      <c r="J404" s="35">
        <v>-1</v>
      </c>
      <c r="K404" s="35">
        <v>-1</v>
      </c>
      <c r="L404" s="35">
        <v>-1</v>
      </c>
      <c r="M404" s="35">
        <v>-1</v>
      </c>
      <c r="N404" s="35">
        <v>-1</v>
      </c>
      <c r="O404" s="35">
        <v>-1</v>
      </c>
      <c r="P404" s="35">
        <v>-1</v>
      </c>
      <c r="Q404" s="35">
        <v>-1</v>
      </c>
      <c r="S404" s="5" t="str">
        <f>IF(_xlfn.XLOOKUP(StatTbl[[#This Row],[Join]],TargetSlots[Join],TargetSlots[Join],"Не найдено")&lt;&gt;"Не найдено","Ищем","Не ищем")</f>
        <v>Не ищем</v>
      </c>
      <c r="T404" s="4" t="str">
        <f ca="1">IF(COUNTIFS(OFFSET(D404:$Q404,0,SearchDay-1,,15-SearchDay),"&lt;="&amp; ValidC,OFFSET(D404:$Q404,0,SearchDay-1,,15-SearchDay),"&gt;-1")&gt;0,"Есть слот!","Ничего")</f>
        <v>Ничего</v>
      </c>
      <c r="U404">
        <f ca="1">IF(S404="Ищем",IF(StatTbl[[#This Row],[Доступность]]="Есть слот!",COUNTIFS(OFFSET(D404:$Q404,0,SearchDay-1),"&lt;="&amp; ValidC,OFFSET(D404:$Q404,0,SearchDay-1),"&gt;-1"),0),0)</f>
        <v>0</v>
      </c>
      <c r="V404" t="str" cm="1">
        <f t="array" aca="1" ref="V404" ca="1">IF(StatTbl[[#This Row],[Кол-во слотов]]&gt;0, B404&amp;" "&amp;C404&amp;" "&amp;_xlfn.TEXTJOIN(", ",FALSE,TEXT(_xlfn._xlws.FILTER(OFFSET($D$8:$Q$8,0,SearchDay-1,,15-SearchDay),(OFFSET(D404:Q404,0,SearchDay-1,,15-SearchDay)&gt;-1)*(OFFSET(D404:Q404,0,SearchDay-1,,15-SearchDay)&lt;=ValidC)),"ДД/ММ")),"")</f>
        <v/>
      </c>
      <c r="W404" t="str">
        <f t="shared" si="6"/>
        <v>ЧашниковоQR-поставка</v>
      </c>
    </row>
    <row r="405" spans="2:23" x14ac:dyDescent="0.45">
      <c r="B405" s="12" t="s">
        <v>105</v>
      </c>
      <c r="C405" s="12" t="s">
        <v>109</v>
      </c>
      <c r="D405" s="35">
        <v>-1</v>
      </c>
      <c r="E405" s="35">
        <v>-1</v>
      </c>
      <c r="F405" s="35">
        <v>-1</v>
      </c>
      <c r="G405" s="35">
        <v>-1</v>
      </c>
      <c r="H405" s="35">
        <v>-1</v>
      </c>
      <c r="I405" s="35">
        <v>-1</v>
      </c>
      <c r="J405" s="35">
        <v>-1</v>
      </c>
      <c r="K405" s="35">
        <v>-1</v>
      </c>
      <c r="L405" s="35">
        <v>-1</v>
      </c>
      <c r="M405" s="35">
        <v>-1</v>
      </c>
      <c r="N405" s="35">
        <v>-1</v>
      </c>
      <c r="O405" s="35">
        <v>-1</v>
      </c>
      <c r="P405" s="35">
        <v>-1</v>
      </c>
      <c r="Q405" s="35">
        <v>-1</v>
      </c>
      <c r="S405" s="5" t="str">
        <f>IF(_xlfn.XLOOKUP(StatTbl[[#This Row],[Join]],TargetSlots[Join],TargetSlots[Join],"Не найдено")&lt;&gt;"Не найдено","Ищем","Не ищем")</f>
        <v>Не ищем</v>
      </c>
      <c r="T405" s="4" t="str">
        <f ca="1">IF(COUNTIFS(OFFSET(D405:$Q405,0,SearchDay-1,,15-SearchDay),"&lt;="&amp; ValidC,OFFSET(D405:$Q405,0,SearchDay-1,,15-SearchDay),"&gt;-1")&gt;0,"Есть слот!","Ничего")</f>
        <v>Ничего</v>
      </c>
      <c r="U405">
        <f ca="1">IF(S405="Ищем",IF(StatTbl[[#This Row],[Доступность]]="Есть слот!",COUNTIFS(OFFSET(D405:$Q405,0,SearchDay-1),"&lt;="&amp; ValidC,OFFSET(D405:$Q405,0,SearchDay-1),"&gt;-1"),0),0)</f>
        <v>0</v>
      </c>
      <c r="V405" t="str" cm="1">
        <f t="array" aca="1" ref="V405" ca="1">IF(StatTbl[[#This Row],[Кол-во слотов]]&gt;0, B405&amp;" "&amp;C405&amp;" "&amp;_xlfn.TEXTJOIN(", ",FALSE,TEXT(_xlfn._xlws.FILTER(OFFSET($D$8:$Q$8,0,SearchDay-1,,15-SearchDay),(OFFSET(D405:Q405,0,SearchDay-1,,15-SearchDay)&gt;-1)*(OFFSET(D405:Q405,0,SearchDay-1,,15-SearchDay)&lt;=ValidC)),"ДД/ММ")),"")</f>
        <v/>
      </c>
      <c r="W405" t="str">
        <f t="shared" si="6"/>
        <v>Чехов 1, Новоселки вл 11 стр 2Короба</v>
      </c>
    </row>
    <row r="406" spans="2:23" x14ac:dyDescent="0.45">
      <c r="B406" s="12" t="s">
        <v>105</v>
      </c>
      <c r="C406" s="12" t="s">
        <v>110</v>
      </c>
      <c r="D406" s="35">
        <v>-1</v>
      </c>
      <c r="E406" s="35">
        <v>-1</v>
      </c>
      <c r="F406" s="35">
        <v>-1</v>
      </c>
      <c r="G406" s="35">
        <v>-1</v>
      </c>
      <c r="H406" s="35">
        <v>-1</v>
      </c>
      <c r="I406" s="35">
        <v>-1</v>
      </c>
      <c r="J406" s="35">
        <v>-1</v>
      </c>
      <c r="K406" s="35">
        <v>-1</v>
      </c>
      <c r="L406" s="35">
        <v>-1</v>
      </c>
      <c r="M406" s="35">
        <v>-1</v>
      </c>
      <c r="N406" s="35">
        <v>-1</v>
      </c>
      <c r="O406" s="35">
        <v>-1</v>
      </c>
      <c r="P406" s="35">
        <v>-1</v>
      </c>
      <c r="Q406" s="35">
        <v>-1</v>
      </c>
      <c r="S406" s="5" t="str">
        <f>IF(_xlfn.XLOOKUP(StatTbl[[#This Row],[Join]],TargetSlots[Join],TargetSlots[Join],"Не найдено")&lt;&gt;"Не найдено","Ищем","Не ищем")</f>
        <v>Не ищем</v>
      </c>
      <c r="T406" s="4" t="str">
        <f ca="1">IF(COUNTIFS(OFFSET(D406:$Q406,0,SearchDay-1,,15-SearchDay),"&lt;="&amp; ValidC,OFFSET(D406:$Q406,0,SearchDay-1,,15-SearchDay),"&gt;-1")&gt;0,"Есть слот!","Ничего")</f>
        <v>Ничего</v>
      </c>
      <c r="U406">
        <f ca="1">IF(S406="Ищем",IF(StatTbl[[#This Row],[Доступность]]="Есть слот!",COUNTIFS(OFFSET(D406:$Q406,0,SearchDay-1),"&lt;="&amp; ValidC,OFFSET(D406:$Q406,0,SearchDay-1),"&gt;-1"),0),0)</f>
        <v>0</v>
      </c>
      <c r="V406" t="str" cm="1">
        <f t="array" aca="1" ref="V406" ca="1">IF(StatTbl[[#This Row],[Кол-во слотов]]&gt;0, B406&amp;" "&amp;C406&amp;" "&amp;_xlfn.TEXTJOIN(", ",FALSE,TEXT(_xlfn._xlws.FILTER(OFFSET($D$8:$Q$8,0,SearchDay-1,,15-SearchDay),(OFFSET(D406:Q406,0,SearchDay-1,,15-SearchDay)&gt;-1)*(OFFSET(D406:Q406,0,SearchDay-1,,15-SearchDay)&lt;=ValidC)),"ДД/ММ")),"")</f>
        <v/>
      </c>
      <c r="W406" t="str">
        <f t="shared" si="6"/>
        <v>Чехов 1, Новоселки вл 11 стр 2Монопаллеты</v>
      </c>
    </row>
    <row r="407" spans="2:23" x14ac:dyDescent="0.45">
      <c r="B407" s="12" t="s">
        <v>105</v>
      </c>
      <c r="C407" s="12" t="s">
        <v>6</v>
      </c>
      <c r="D407" s="35">
        <v>-1</v>
      </c>
      <c r="E407" s="35">
        <v>-1</v>
      </c>
      <c r="F407" s="35">
        <v>-1</v>
      </c>
      <c r="G407" s="35">
        <v>-1</v>
      </c>
      <c r="H407" s="35">
        <v>-1</v>
      </c>
      <c r="I407" s="35">
        <v>-1</v>
      </c>
      <c r="J407" s="35">
        <v>-1</v>
      </c>
      <c r="K407" s="35">
        <v>-1</v>
      </c>
      <c r="L407" s="35">
        <v>-1</v>
      </c>
      <c r="M407" s="35">
        <v>-1</v>
      </c>
      <c r="N407" s="35">
        <v>-1</v>
      </c>
      <c r="O407" s="35">
        <v>-1</v>
      </c>
      <c r="P407" s="35">
        <v>-1</v>
      </c>
      <c r="Q407" s="35">
        <v>-1</v>
      </c>
      <c r="S407" s="5" t="str">
        <f>IF(_xlfn.XLOOKUP(StatTbl[[#This Row],[Join]],TargetSlots[Join],TargetSlots[Join],"Не найдено")&lt;&gt;"Не найдено","Ищем","Не ищем")</f>
        <v>Не ищем</v>
      </c>
      <c r="T407" s="4" t="str">
        <f ca="1">IF(COUNTIFS(OFFSET(D407:$Q407,0,SearchDay-1,,15-SearchDay),"&lt;="&amp; ValidC,OFFSET(D407:$Q407,0,SearchDay-1,,15-SearchDay),"&gt;-1")&gt;0,"Есть слот!","Ничего")</f>
        <v>Ничего</v>
      </c>
      <c r="U407">
        <f ca="1">IF(S407="Ищем",IF(StatTbl[[#This Row],[Доступность]]="Есть слот!",COUNTIFS(OFFSET(D407:$Q407,0,SearchDay-1),"&lt;="&amp; ValidC,OFFSET(D407:$Q407,0,SearchDay-1),"&gt;-1"),0),0)</f>
        <v>0</v>
      </c>
      <c r="V407" t="str" cm="1">
        <f t="array" aca="1" ref="V407" ca="1">IF(StatTbl[[#This Row],[Кол-во слотов]]&gt;0, B407&amp;" "&amp;C407&amp;" "&amp;_xlfn.TEXTJOIN(", ",FALSE,TEXT(_xlfn._xlws.FILTER(OFFSET($D$8:$Q$8,0,SearchDay-1,,15-SearchDay),(OFFSET(D407:Q407,0,SearchDay-1,,15-SearchDay)&gt;-1)*(OFFSET(D407:Q407,0,SearchDay-1,,15-SearchDay)&lt;=ValidC)),"ДД/ММ")),"")</f>
        <v/>
      </c>
      <c r="W407" t="str">
        <f t="shared" si="6"/>
        <v>Чехов 1, Новоселки вл 11 стр 2Суперсейф</v>
      </c>
    </row>
    <row r="408" spans="2:23" x14ac:dyDescent="0.45">
      <c r="B408" s="12" t="s">
        <v>105</v>
      </c>
      <c r="C408" s="12" t="s">
        <v>111</v>
      </c>
      <c r="D408" s="35">
        <v>-1</v>
      </c>
      <c r="E408" s="35">
        <v>-1</v>
      </c>
      <c r="F408" s="35">
        <v>-1</v>
      </c>
      <c r="G408" s="35">
        <v>-1</v>
      </c>
      <c r="H408" s="35">
        <v>-1</v>
      </c>
      <c r="I408" s="35">
        <v>-1</v>
      </c>
      <c r="J408" s="35">
        <v>-1</v>
      </c>
      <c r="K408" s="35">
        <v>-1</v>
      </c>
      <c r="L408" s="35">
        <v>-1</v>
      </c>
      <c r="M408" s="35">
        <v>-1</v>
      </c>
      <c r="N408" s="35">
        <v>-1</v>
      </c>
      <c r="O408" s="35">
        <v>-1</v>
      </c>
      <c r="P408" s="35">
        <v>-1</v>
      </c>
      <c r="Q408" s="35">
        <v>-1</v>
      </c>
      <c r="S408" s="5" t="str">
        <f>IF(_xlfn.XLOOKUP(StatTbl[[#This Row],[Join]],TargetSlots[Join],TargetSlots[Join],"Не найдено")&lt;&gt;"Не найдено","Ищем","Не ищем")</f>
        <v>Не ищем</v>
      </c>
      <c r="T408" s="4" t="str">
        <f ca="1">IF(COUNTIFS(OFFSET(D408:$Q408,0,SearchDay-1,,15-SearchDay),"&lt;="&amp; ValidC,OFFSET(D408:$Q408,0,SearchDay-1,,15-SearchDay),"&gt;-1")&gt;0,"Есть слот!","Ничего")</f>
        <v>Ничего</v>
      </c>
      <c r="U408">
        <f ca="1">IF(S408="Ищем",IF(StatTbl[[#This Row],[Доступность]]="Есть слот!",COUNTIFS(OFFSET(D408:$Q408,0,SearchDay-1),"&lt;="&amp; ValidC,OFFSET(D408:$Q408,0,SearchDay-1),"&gt;-1"),0),0)</f>
        <v>0</v>
      </c>
      <c r="V408" t="str" cm="1">
        <f t="array" aca="1" ref="V408" ca="1">IF(StatTbl[[#This Row],[Кол-во слотов]]&gt;0, B408&amp;" "&amp;C408&amp;" "&amp;_xlfn.TEXTJOIN(", ",FALSE,TEXT(_xlfn._xlws.FILTER(OFFSET($D$8:$Q$8,0,SearchDay-1,,15-SearchDay),(OFFSET(D408:Q408,0,SearchDay-1,,15-SearchDay)&gt;-1)*(OFFSET(D408:Q408,0,SearchDay-1,,15-SearchDay)&lt;=ValidC)),"ДД/ММ")),"")</f>
        <v/>
      </c>
      <c r="W408" t="str">
        <f t="shared" si="6"/>
        <v>Чехов 1, Новоселки вл 11 стр 2QR-поставка</v>
      </c>
    </row>
    <row r="409" spans="2:23" x14ac:dyDescent="0.45">
      <c r="B409" s="12" t="s">
        <v>106</v>
      </c>
      <c r="C409" s="12" t="s">
        <v>109</v>
      </c>
      <c r="D409" s="35">
        <v>-1</v>
      </c>
      <c r="E409" s="35">
        <v>-1</v>
      </c>
      <c r="F409" s="35">
        <v>-1</v>
      </c>
      <c r="G409" s="35">
        <v>-1</v>
      </c>
      <c r="H409" s="35">
        <v>-1</v>
      </c>
      <c r="I409" s="35">
        <v>-1</v>
      </c>
      <c r="J409" s="35">
        <v>-1</v>
      </c>
      <c r="K409" s="35">
        <v>-1</v>
      </c>
      <c r="L409" s="35">
        <v>-1</v>
      </c>
      <c r="M409" s="35">
        <v>-1</v>
      </c>
      <c r="N409" s="35">
        <v>-1</v>
      </c>
      <c r="O409" s="35">
        <v>-1</v>
      </c>
      <c r="P409" s="35">
        <v>-1</v>
      </c>
      <c r="Q409" s="35">
        <v>-1</v>
      </c>
      <c r="S409" s="5" t="str">
        <f>IF(_xlfn.XLOOKUP(StatTbl[[#This Row],[Join]],TargetSlots[Join],TargetSlots[Join],"Не найдено")&lt;&gt;"Не найдено","Ищем","Не ищем")</f>
        <v>Не ищем</v>
      </c>
      <c r="T409" s="4" t="str">
        <f ca="1">IF(COUNTIFS(OFFSET(D409:$Q409,0,SearchDay-1,,15-SearchDay),"&lt;="&amp; ValidC,OFFSET(D409:$Q409,0,SearchDay-1,,15-SearchDay),"&gt;-1")&gt;0,"Есть слот!","Ничего")</f>
        <v>Ничего</v>
      </c>
      <c r="U409">
        <f ca="1">IF(S409="Ищем",IF(StatTbl[[#This Row],[Доступность]]="Есть слот!",COUNTIFS(OFFSET(D409:$Q409,0,SearchDay-1),"&lt;="&amp; ValidC,OFFSET(D409:$Q409,0,SearchDay-1),"&gt;-1"),0),0)</f>
        <v>0</v>
      </c>
      <c r="V409" t="str" cm="1">
        <f t="array" aca="1" ref="V409" ca="1">IF(StatTbl[[#This Row],[Кол-во слотов]]&gt;0, B409&amp;" "&amp;C409&amp;" "&amp;_xlfn.TEXTJOIN(", ",FALSE,TEXT(_xlfn._xlws.FILTER(OFFSET($D$8:$Q$8,0,SearchDay-1,,15-SearchDay),(OFFSET(D409:Q409,0,SearchDay-1,,15-SearchDay)&gt;-1)*(OFFSET(D409:Q409,0,SearchDay-1,,15-SearchDay)&lt;=ValidC)),"ДД/ММ")),"")</f>
        <v/>
      </c>
      <c r="W409" t="str">
        <f t="shared" si="6"/>
        <v>Чехов 2, Новоселки вл 11 стр 7Короба</v>
      </c>
    </row>
    <row r="410" spans="2:23" x14ac:dyDescent="0.45">
      <c r="B410" s="12" t="s">
        <v>106</v>
      </c>
      <c r="C410" s="12" t="s">
        <v>110</v>
      </c>
      <c r="D410" s="35">
        <v>-1</v>
      </c>
      <c r="E410" s="35">
        <v>-1</v>
      </c>
      <c r="F410" s="35">
        <v>-1</v>
      </c>
      <c r="G410" s="35">
        <v>-1</v>
      </c>
      <c r="H410" s="35">
        <v>-1</v>
      </c>
      <c r="I410" s="35">
        <v>-1</v>
      </c>
      <c r="J410" s="35">
        <v>-1</v>
      </c>
      <c r="K410" s="35">
        <v>-1</v>
      </c>
      <c r="L410" s="35">
        <v>-1</v>
      </c>
      <c r="M410" s="35">
        <v>-1</v>
      </c>
      <c r="N410" s="35">
        <v>-1</v>
      </c>
      <c r="O410" s="35">
        <v>-1</v>
      </c>
      <c r="P410" s="35">
        <v>-1</v>
      </c>
      <c r="Q410" s="35">
        <v>-1</v>
      </c>
      <c r="S410" s="5" t="str">
        <f>IF(_xlfn.XLOOKUP(StatTbl[[#This Row],[Join]],TargetSlots[Join],TargetSlots[Join],"Не найдено")&lt;&gt;"Не найдено","Ищем","Не ищем")</f>
        <v>Не ищем</v>
      </c>
      <c r="T410" s="4" t="str">
        <f ca="1">IF(COUNTIFS(OFFSET(D410:$Q410,0,SearchDay-1,,15-SearchDay),"&lt;="&amp; ValidC,OFFSET(D410:$Q410,0,SearchDay-1,,15-SearchDay),"&gt;-1")&gt;0,"Есть слот!","Ничего")</f>
        <v>Ничего</v>
      </c>
      <c r="U410">
        <f ca="1">IF(S410="Ищем",IF(StatTbl[[#This Row],[Доступность]]="Есть слот!",COUNTIFS(OFFSET(D410:$Q410,0,SearchDay-1),"&lt;="&amp; ValidC,OFFSET(D410:$Q410,0,SearchDay-1),"&gt;-1"),0),0)</f>
        <v>0</v>
      </c>
      <c r="V410" t="str" cm="1">
        <f t="array" aca="1" ref="V410" ca="1">IF(StatTbl[[#This Row],[Кол-во слотов]]&gt;0, B410&amp;" "&amp;C410&amp;" "&amp;_xlfn.TEXTJOIN(", ",FALSE,TEXT(_xlfn._xlws.FILTER(OFFSET($D$8:$Q$8,0,SearchDay-1,,15-SearchDay),(OFFSET(D410:Q410,0,SearchDay-1,,15-SearchDay)&gt;-1)*(OFFSET(D410:Q410,0,SearchDay-1,,15-SearchDay)&lt;=ValidC)),"ДД/ММ")),"")</f>
        <v/>
      </c>
      <c r="W410" t="str">
        <f t="shared" si="6"/>
        <v>Чехов 2, Новоселки вл 11 стр 7Монопаллеты</v>
      </c>
    </row>
    <row r="411" spans="2:23" x14ac:dyDescent="0.45">
      <c r="B411" s="12" t="s">
        <v>106</v>
      </c>
      <c r="C411" s="12" t="s">
        <v>6</v>
      </c>
      <c r="D411" s="35">
        <v>-1</v>
      </c>
      <c r="E411" s="35">
        <v>-1</v>
      </c>
      <c r="F411" s="35">
        <v>-1</v>
      </c>
      <c r="G411" s="35">
        <v>-1</v>
      </c>
      <c r="H411" s="35">
        <v>-1</v>
      </c>
      <c r="I411" s="35">
        <v>-1</v>
      </c>
      <c r="J411" s="35">
        <v>-1</v>
      </c>
      <c r="K411" s="35">
        <v>-1</v>
      </c>
      <c r="L411" s="35">
        <v>-1</v>
      </c>
      <c r="M411" s="35">
        <v>-1</v>
      </c>
      <c r="N411" s="35">
        <v>-1</v>
      </c>
      <c r="O411" s="35">
        <v>-1</v>
      </c>
      <c r="P411" s="35">
        <v>-1</v>
      </c>
      <c r="Q411" s="35">
        <v>-1</v>
      </c>
      <c r="S411" s="5" t="str">
        <f>IF(_xlfn.XLOOKUP(StatTbl[[#This Row],[Join]],TargetSlots[Join],TargetSlots[Join],"Не найдено")&lt;&gt;"Не найдено","Ищем","Не ищем")</f>
        <v>Не ищем</v>
      </c>
      <c r="T411" s="4" t="str">
        <f ca="1">IF(COUNTIFS(OFFSET(D411:$Q411,0,SearchDay-1,,15-SearchDay),"&lt;="&amp; ValidC,OFFSET(D411:$Q411,0,SearchDay-1,,15-SearchDay),"&gt;-1")&gt;0,"Есть слот!","Ничего")</f>
        <v>Ничего</v>
      </c>
      <c r="U411">
        <f ca="1">IF(S411="Ищем",IF(StatTbl[[#This Row],[Доступность]]="Есть слот!",COUNTIFS(OFFSET(D411:$Q411,0,SearchDay-1),"&lt;="&amp; ValidC,OFFSET(D411:$Q411,0,SearchDay-1),"&gt;-1"),0),0)</f>
        <v>0</v>
      </c>
      <c r="V411" t="str" cm="1">
        <f t="array" aca="1" ref="V411" ca="1">IF(StatTbl[[#This Row],[Кол-во слотов]]&gt;0, B411&amp;" "&amp;C411&amp;" "&amp;_xlfn.TEXTJOIN(", ",FALSE,TEXT(_xlfn._xlws.FILTER(OFFSET($D$8:$Q$8,0,SearchDay-1,,15-SearchDay),(OFFSET(D411:Q411,0,SearchDay-1,,15-SearchDay)&gt;-1)*(OFFSET(D411:Q411,0,SearchDay-1,,15-SearchDay)&lt;=ValidC)),"ДД/ММ")),"")</f>
        <v/>
      </c>
      <c r="W411" t="str">
        <f t="shared" si="6"/>
        <v>Чехов 2, Новоселки вл 11 стр 7Суперсейф</v>
      </c>
    </row>
    <row r="412" spans="2:23" x14ac:dyDescent="0.45">
      <c r="B412" s="12" t="s">
        <v>106</v>
      </c>
      <c r="C412" s="12" t="s">
        <v>111</v>
      </c>
      <c r="D412" s="35">
        <v>-1</v>
      </c>
      <c r="E412" s="35">
        <v>-1</v>
      </c>
      <c r="F412" s="35">
        <v>-1</v>
      </c>
      <c r="G412" s="35">
        <v>-1</v>
      </c>
      <c r="H412" s="35">
        <v>-1</v>
      </c>
      <c r="I412" s="35">
        <v>-1</v>
      </c>
      <c r="J412" s="35">
        <v>-1</v>
      </c>
      <c r="K412" s="35">
        <v>-1</v>
      </c>
      <c r="L412" s="35">
        <v>-1</v>
      </c>
      <c r="M412" s="35">
        <v>-1</v>
      </c>
      <c r="N412" s="35">
        <v>-1</v>
      </c>
      <c r="O412" s="35">
        <v>-1</v>
      </c>
      <c r="P412" s="35">
        <v>-1</v>
      </c>
      <c r="Q412" s="35">
        <v>-1</v>
      </c>
      <c r="S412" s="5" t="str">
        <f>IF(_xlfn.XLOOKUP(StatTbl[[#This Row],[Join]],TargetSlots[Join],TargetSlots[Join],"Не найдено")&lt;&gt;"Не найдено","Ищем","Не ищем")</f>
        <v>Не ищем</v>
      </c>
      <c r="T412" s="4" t="str">
        <f ca="1">IF(COUNTIFS(OFFSET(D412:$Q412,0,SearchDay-1,,15-SearchDay),"&lt;="&amp; ValidC,OFFSET(D412:$Q412,0,SearchDay-1,,15-SearchDay),"&gt;-1")&gt;0,"Есть слот!","Ничего")</f>
        <v>Ничего</v>
      </c>
      <c r="U412">
        <f ca="1">IF(S412="Ищем",IF(StatTbl[[#This Row],[Доступность]]="Есть слот!",COUNTIFS(OFFSET(D412:$Q412,0,SearchDay-1),"&lt;="&amp; ValidC,OFFSET(D412:$Q412,0,SearchDay-1),"&gt;-1"),0),0)</f>
        <v>0</v>
      </c>
      <c r="V412" t="str" cm="1">
        <f t="array" aca="1" ref="V412" ca="1">IF(StatTbl[[#This Row],[Кол-во слотов]]&gt;0, B412&amp;" "&amp;C412&amp;" "&amp;_xlfn.TEXTJOIN(", ",FALSE,TEXT(_xlfn._xlws.FILTER(OFFSET($D$8:$Q$8,0,SearchDay-1,,15-SearchDay),(OFFSET(D412:Q412,0,SearchDay-1,,15-SearchDay)&gt;-1)*(OFFSET(D412:Q412,0,SearchDay-1,,15-SearchDay)&lt;=ValidC)),"ДД/ММ")),"")</f>
        <v/>
      </c>
      <c r="W412" t="str">
        <f t="shared" si="6"/>
        <v>Чехов 2, Новоселки вл 11 стр 7QR-поставка</v>
      </c>
    </row>
    <row r="413" spans="2:23" x14ac:dyDescent="0.45">
      <c r="B413" s="12" t="s">
        <v>107</v>
      </c>
      <c r="C413" s="12" t="s">
        <v>109</v>
      </c>
      <c r="D413" s="35">
        <v>-1</v>
      </c>
      <c r="E413" s="35">
        <v>-1</v>
      </c>
      <c r="F413" s="35">
        <v>-1</v>
      </c>
      <c r="G413" s="35">
        <v>-1</v>
      </c>
      <c r="H413" s="35">
        <v>-1</v>
      </c>
      <c r="I413" s="35">
        <v>-1</v>
      </c>
      <c r="J413" s="35">
        <v>-1</v>
      </c>
      <c r="K413" s="35">
        <v>-1</v>
      </c>
      <c r="L413" s="35">
        <v>-1</v>
      </c>
      <c r="M413" s="35">
        <v>-1</v>
      </c>
      <c r="N413" s="35">
        <v>-1</v>
      </c>
      <c r="O413" s="35">
        <v>-1</v>
      </c>
      <c r="P413" s="35">
        <v>-1</v>
      </c>
      <c r="Q413" s="35">
        <v>-1</v>
      </c>
      <c r="S413" s="5" t="str">
        <f>IF(_xlfn.XLOOKUP(StatTbl[[#This Row],[Join]],TargetSlots[Join],TargetSlots[Join],"Не найдено")&lt;&gt;"Не найдено","Ищем","Не ищем")</f>
        <v>Не ищем</v>
      </c>
      <c r="T413" s="4" t="str">
        <f ca="1">IF(COUNTIFS(OFFSET(D413:$Q413,0,SearchDay-1,,15-SearchDay),"&lt;="&amp; ValidC,OFFSET(D413:$Q413,0,SearchDay-1,,15-SearchDay),"&gt;-1")&gt;0,"Есть слот!","Ничего")</f>
        <v>Ничего</v>
      </c>
      <c r="U413">
        <f ca="1">IF(S413="Ищем",IF(StatTbl[[#This Row],[Доступность]]="Есть слот!",COUNTIFS(OFFSET(D413:$Q413,0,SearchDay-1),"&lt;="&amp; ValidC,OFFSET(D413:$Q413,0,SearchDay-1),"&gt;-1"),0),0)</f>
        <v>0</v>
      </c>
      <c r="V413" t="str" cm="1">
        <f t="array" aca="1" ref="V413" ca="1">IF(StatTbl[[#This Row],[Кол-во слотов]]&gt;0, B413&amp;" "&amp;C413&amp;" "&amp;_xlfn.TEXTJOIN(", ",FALSE,TEXT(_xlfn._xlws.FILTER(OFFSET($D$8:$Q$8,0,SearchDay-1,,15-SearchDay),(OFFSET(D413:Q413,0,SearchDay-1,,15-SearchDay)&gt;-1)*(OFFSET(D413:Q413,0,SearchDay-1,,15-SearchDay)&lt;=ValidC)),"ДД/ММ")),"")</f>
        <v/>
      </c>
      <c r="W413" t="str">
        <f t="shared" si="6"/>
        <v>Шушары СГТКороба</v>
      </c>
    </row>
    <row r="414" spans="2:23" x14ac:dyDescent="0.45">
      <c r="B414" s="12" t="s">
        <v>107</v>
      </c>
      <c r="C414" s="12" t="s">
        <v>110</v>
      </c>
      <c r="D414" s="35">
        <v>-1</v>
      </c>
      <c r="E414" s="35">
        <v>-1</v>
      </c>
      <c r="F414" s="35">
        <v>-1</v>
      </c>
      <c r="G414" s="35">
        <v>-1</v>
      </c>
      <c r="H414" s="35">
        <v>-1</v>
      </c>
      <c r="I414" s="35">
        <v>-1</v>
      </c>
      <c r="J414" s="35">
        <v>-1</v>
      </c>
      <c r="K414" s="35">
        <v>-1</v>
      </c>
      <c r="L414" s="35">
        <v>-1</v>
      </c>
      <c r="M414" s="35">
        <v>-1</v>
      </c>
      <c r="N414" s="35">
        <v>-1</v>
      </c>
      <c r="O414" s="35">
        <v>-1</v>
      </c>
      <c r="P414" s="35">
        <v>-1</v>
      </c>
      <c r="Q414" s="35">
        <v>-1</v>
      </c>
      <c r="S414" s="5" t="str">
        <f>IF(_xlfn.XLOOKUP(StatTbl[[#This Row],[Join]],TargetSlots[Join],TargetSlots[Join],"Не найдено")&lt;&gt;"Не найдено","Ищем","Не ищем")</f>
        <v>Не ищем</v>
      </c>
      <c r="T414" s="4" t="str">
        <f ca="1">IF(COUNTIFS(OFFSET(D414:$Q414,0,SearchDay-1,,15-SearchDay),"&lt;="&amp; ValidC,OFFSET(D414:$Q414,0,SearchDay-1,,15-SearchDay),"&gt;-1")&gt;0,"Есть слот!","Ничего")</f>
        <v>Ничего</v>
      </c>
      <c r="U414">
        <f ca="1">IF(S414="Ищем",IF(StatTbl[[#This Row],[Доступность]]="Есть слот!",COUNTIFS(OFFSET(D414:$Q414,0,SearchDay-1),"&lt;="&amp; ValidC,OFFSET(D414:$Q414,0,SearchDay-1),"&gt;-1"),0),0)</f>
        <v>0</v>
      </c>
      <c r="V414" t="str" cm="1">
        <f t="array" aca="1" ref="V414" ca="1">IF(StatTbl[[#This Row],[Кол-во слотов]]&gt;0, B414&amp;" "&amp;C414&amp;" "&amp;_xlfn.TEXTJOIN(", ",FALSE,TEXT(_xlfn._xlws.FILTER(OFFSET($D$8:$Q$8,0,SearchDay-1,,15-SearchDay),(OFFSET(D414:Q414,0,SearchDay-1,,15-SearchDay)&gt;-1)*(OFFSET(D414:Q414,0,SearchDay-1,,15-SearchDay)&lt;=ValidC)),"ДД/ММ")),"")</f>
        <v/>
      </c>
      <c r="W414" t="str">
        <f t="shared" si="6"/>
        <v>Шушары СГТМонопаллеты</v>
      </c>
    </row>
    <row r="415" spans="2:23" x14ac:dyDescent="0.45">
      <c r="B415" s="12" t="s">
        <v>107</v>
      </c>
      <c r="C415" s="12" t="s">
        <v>6</v>
      </c>
      <c r="D415" s="35">
        <v>-1</v>
      </c>
      <c r="E415" s="35">
        <v>-1</v>
      </c>
      <c r="F415" s="35">
        <v>-1</v>
      </c>
      <c r="G415" s="35">
        <v>-1</v>
      </c>
      <c r="H415" s="35">
        <v>-1</v>
      </c>
      <c r="I415" s="35">
        <v>-1</v>
      </c>
      <c r="J415" s="35">
        <v>-1</v>
      </c>
      <c r="K415" s="35">
        <v>-1</v>
      </c>
      <c r="L415" s="35">
        <v>-1</v>
      </c>
      <c r="M415" s="35">
        <v>-1</v>
      </c>
      <c r="N415" s="35">
        <v>-1</v>
      </c>
      <c r="O415" s="35">
        <v>-1</v>
      </c>
      <c r="P415" s="35">
        <v>-1</v>
      </c>
      <c r="Q415" s="35">
        <v>-1</v>
      </c>
      <c r="S415" s="5" t="str">
        <f>IF(_xlfn.XLOOKUP(StatTbl[[#This Row],[Join]],TargetSlots[Join],TargetSlots[Join],"Не найдено")&lt;&gt;"Не найдено","Ищем","Не ищем")</f>
        <v>Не ищем</v>
      </c>
      <c r="T415" s="4" t="str">
        <f ca="1">IF(COUNTIFS(OFFSET(D415:$Q415,0,SearchDay-1,,15-SearchDay),"&lt;="&amp; ValidC,OFFSET(D415:$Q415,0,SearchDay-1,,15-SearchDay),"&gt;-1")&gt;0,"Есть слот!","Ничего")</f>
        <v>Ничего</v>
      </c>
      <c r="U415">
        <f ca="1">IF(S415="Ищем",IF(StatTbl[[#This Row],[Доступность]]="Есть слот!",COUNTIFS(OFFSET(D415:$Q415,0,SearchDay-1),"&lt;="&amp; ValidC,OFFSET(D415:$Q415,0,SearchDay-1),"&gt;-1"),0),0)</f>
        <v>0</v>
      </c>
      <c r="V415" t="str" cm="1">
        <f t="array" aca="1" ref="V415" ca="1">IF(StatTbl[[#This Row],[Кол-во слотов]]&gt;0, B415&amp;" "&amp;C415&amp;" "&amp;_xlfn.TEXTJOIN(", ",FALSE,TEXT(_xlfn._xlws.FILTER(OFFSET($D$8:$Q$8,0,SearchDay-1,,15-SearchDay),(OFFSET(D415:Q415,0,SearchDay-1,,15-SearchDay)&gt;-1)*(OFFSET(D415:Q415,0,SearchDay-1,,15-SearchDay)&lt;=ValidC)),"ДД/ММ")),"")</f>
        <v/>
      </c>
      <c r="W415" t="str">
        <f t="shared" si="6"/>
        <v>Шушары СГТСуперсейф</v>
      </c>
    </row>
    <row r="416" spans="2:23" x14ac:dyDescent="0.45">
      <c r="B416" s="12" t="s">
        <v>107</v>
      </c>
      <c r="C416" s="12" t="s">
        <v>111</v>
      </c>
      <c r="D416" s="35">
        <v>-1</v>
      </c>
      <c r="E416" s="35">
        <v>-1</v>
      </c>
      <c r="F416" s="35">
        <v>-1</v>
      </c>
      <c r="G416" s="35">
        <v>-1</v>
      </c>
      <c r="H416" s="35">
        <v>-1</v>
      </c>
      <c r="I416" s="35">
        <v>-1</v>
      </c>
      <c r="J416" s="35">
        <v>-1</v>
      </c>
      <c r="K416" s="35">
        <v>-1</v>
      </c>
      <c r="L416" s="35">
        <v>-1</v>
      </c>
      <c r="M416" s="35">
        <v>-1</v>
      </c>
      <c r="N416" s="35">
        <v>-1</v>
      </c>
      <c r="O416" s="35">
        <v>-1</v>
      </c>
      <c r="P416" s="35">
        <v>-1</v>
      </c>
      <c r="Q416" s="35">
        <v>-1</v>
      </c>
      <c r="S416" s="5" t="str">
        <f>IF(_xlfn.XLOOKUP(StatTbl[[#This Row],[Join]],TargetSlots[Join],TargetSlots[Join],"Не найдено")&lt;&gt;"Не найдено","Ищем","Не ищем")</f>
        <v>Не ищем</v>
      </c>
      <c r="T416" s="4" t="str">
        <f ca="1">IF(COUNTIFS(OFFSET(D416:$Q416,0,SearchDay-1,,15-SearchDay),"&lt;="&amp; ValidC,OFFSET(D416:$Q416,0,SearchDay-1,,15-SearchDay),"&gt;-1")&gt;0,"Есть слот!","Ничего")</f>
        <v>Ничего</v>
      </c>
      <c r="U416">
        <f ca="1">IF(S416="Ищем",IF(StatTbl[[#This Row],[Доступность]]="Есть слот!",COUNTIFS(OFFSET(D416:$Q416,0,SearchDay-1),"&lt;="&amp; ValidC,OFFSET(D416:$Q416,0,SearchDay-1),"&gt;-1"),0),0)</f>
        <v>0</v>
      </c>
      <c r="V416" t="str" cm="1">
        <f t="array" aca="1" ref="V416" ca="1">IF(StatTbl[[#This Row],[Кол-во слотов]]&gt;0, B416&amp;" "&amp;C416&amp;" "&amp;_xlfn.TEXTJOIN(", ",FALSE,TEXT(_xlfn._xlws.FILTER(OFFSET($D$8:$Q$8,0,SearchDay-1,,15-SearchDay),(OFFSET(D416:Q416,0,SearchDay-1,,15-SearchDay)&gt;-1)*(OFFSET(D416:Q416,0,SearchDay-1,,15-SearchDay)&lt;=ValidC)),"ДД/ММ")),"")</f>
        <v/>
      </c>
      <c r="W416" t="str">
        <f t="shared" si="6"/>
        <v>Шушары СГТQR-поставка</v>
      </c>
    </row>
    <row r="417" spans="2:23" x14ac:dyDescent="0.45">
      <c r="B417" s="12" t="s">
        <v>108</v>
      </c>
      <c r="C417" s="12" t="s">
        <v>109</v>
      </c>
      <c r="D417" s="35">
        <v>-1</v>
      </c>
      <c r="E417" s="35">
        <v>-1</v>
      </c>
      <c r="F417" s="35">
        <v>-1</v>
      </c>
      <c r="G417" s="35">
        <v>-1</v>
      </c>
      <c r="H417" s="35">
        <v>-1</v>
      </c>
      <c r="I417" s="35">
        <v>-1</v>
      </c>
      <c r="J417" s="35">
        <v>-1</v>
      </c>
      <c r="K417" s="35">
        <v>-1</v>
      </c>
      <c r="L417" s="35">
        <v>-1</v>
      </c>
      <c r="M417" s="35">
        <v>-1</v>
      </c>
      <c r="N417" s="35">
        <v>-1</v>
      </c>
      <c r="O417" s="35">
        <v>-1</v>
      </c>
      <c r="P417" s="35">
        <v>20</v>
      </c>
      <c r="Q417" s="35">
        <v>20</v>
      </c>
      <c r="S417" s="5" t="str">
        <f>IF(_xlfn.XLOOKUP(StatTbl[[#This Row],[Join]],TargetSlots[Join],TargetSlots[Join],"Не найдено")&lt;&gt;"Не найдено","Ищем","Не ищем")</f>
        <v>Ищем</v>
      </c>
      <c r="T417" s="4" t="str">
        <f ca="1">IF(COUNTIFS(OFFSET(D417:$Q417,0,SearchDay-1,,15-SearchDay),"&lt;="&amp; ValidC,OFFSET(D417:$Q417,0,SearchDay-1,,15-SearchDay),"&gt;-1")&gt;0,"Есть слот!","Ничего")</f>
        <v>Ничего</v>
      </c>
      <c r="U417">
        <f ca="1">IF(S417="Ищем",IF(StatTbl[[#This Row],[Доступность]]="Есть слот!",COUNTIFS(OFFSET(D417:$Q417,0,SearchDay-1),"&lt;="&amp; ValidC,OFFSET(D417:$Q417,0,SearchDay-1),"&gt;-1"),0),0)</f>
        <v>0</v>
      </c>
      <c r="V417" t="str" cm="1">
        <f t="array" aca="1" ref="V417" ca="1">IF(StatTbl[[#This Row],[Кол-во слотов]]&gt;0, B417&amp;" "&amp;C417&amp;" "&amp;_xlfn.TEXTJOIN(", ",FALSE,TEXT(_xlfn._xlws.FILTER(OFFSET($D$8:$Q$8,0,SearchDay-1,,15-SearchDay),(OFFSET(D417:Q417,0,SearchDay-1,,15-SearchDay)&gt;-1)*(OFFSET(D417:Q417,0,SearchDay-1,,15-SearchDay)&lt;=ValidC)),"ДД/ММ")),"")</f>
        <v/>
      </c>
      <c r="W417" t="str">
        <f t="shared" si="6"/>
        <v>ЭлектростальКороба</v>
      </c>
    </row>
    <row r="418" spans="2:23" x14ac:dyDescent="0.45">
      <c r="B418" s="12" t="s">
        <v>108</v>
      </c>
      <c r="C418" s="12" t="s">
        <v>110</v>
      </c>
      <c r="D418" s="35">
        <v>-1</v>
      </c>
      <c r="E418" s="35">
        <v>-1</v>
      </c>
      <c r="F418" s="35">
        <v>-1</v>
      </c>
      <c r="G418" s="35">
        <v>-1</v>
      </c>
      <c r="H418" s="35">
        <v>-1</v>
      </c>
      <c r="I418" s="35">
        <v>-1</v>
      </c>
      <c r="J418" s="35">
        <v>-1</v>
      </c>
      <c r="K418" s="35">
        <v>-1</v>
      </c>
      <c r="L418" s="35">
        <v>-1</v>
      </c>
      <c r="M418" s="35">
        <v>-1</v>
      </c>
      <c r="N418" s="35">
        <v>-1</v>
      </c>
      <c r="O418" s="35">
        <v>-1</v>
      </c>
      <c r="P418" s="35">
        <v>-1</v>
      </c>
      <c r="Q418" s="35">
        <v>-1</v>
      </c>
      <c r="S418" s="5" t="str">
        <f>IF(_xlfn.XLOOKUP(StatTbl[[#This Row],[Join]],TargetSlots[Join],TargetSlots[Join],"Не найдено")&lt;&gt;"Не найдено","Ищем","Не ищем")</f>
        <v>Ищем</v>
      </c>
      <c r="T418" s="4" t="str">
        <f ca="1">IF(COUNTIFS(OFFSET(D418:$Q418,0,SearchDay-1,,15-SearchDay),"&lt;="&amp; ValidC,OFFSET(D418:$Q418,0,SearchDay-1,,15-SearchDay),"&gt;-1")&gt;0,"Есть слот!","Ничего")</f>
        <v>Ничего</v>
      </c>
      <c r="U418">
        <f ca="1">IF(S418="Ищем",IF(StatTbl[[#This Row],[Доступность]]="Есть слот!",COUNTIFS(OFFSET(D418:$Q418,0,SearchDay-1),"&lt;="&amp; ValidC,OFFSET(D418:$Q418,0,SearchDay-1),"&gt;-1"),0),0)</f>
        <v>0</v>
      </c>
      <c r="V418" t="str" cm="1">
        <f t="array" aca="1" ref="V418" ca="1">IF(StatTbl[[#This Row],[Кол-во слотов]]&gt;0, B418&amp;" "&amp;C418&amp;" "&amp;_xlfn.TEXTJOIN(", ",FALSE,TEXT(_xlfn._xlws.FILTER(OFFSET($D$8:$Q$8,0,SearchDay-1,,15-SearchDay),(OFFSET(D418:Q418,0,SearchDay-1,,15-SearchDay)&gt;-1)*(OFFSET(D418:Q418,0,SearchDay-1,,15-SearchDay)&lt;=ValidC)),"ДД/ММ")),"")</f>
        <v/>
      </c>
      <c r="W418" t="str">
        <f t="shared" ref="W418" si="7">B418&amp;C418</f>
        <v>ЭлектростальМонопаллеты</v>
      </c>
    </row>
    <row r="419" spans="2:23" x14ac:dyDescent="0.45">
      <c r="B419" s="12" t="s">
        <v>108</v>
      </c>
      <c r="C419" s="12" t="s">
        <v>6</v>
      </c>
      <c r="D419" s="35">
        <v>-1</v>
      </c>
      <c r="E419" s="35">
        <v>-1</v>
      </c>
      <c r="F419" s="35">
        <v>-1</v>
      </c>
      <c r="G419" s="35">
        <v>-1</v>
      </c>
      <c r="H419" s="35">
        <v>-1</v>
      </c>
      <c r="I419" s="35">
        <v>-1</v>
      </c>
      <c r="J419" s="35">
        <v>-1</v>
      </c>
      <c r="K419" s="35">
        <v>-1</v>
      </c>
      <c r="L419" s="35">
        <v>-1</v>
      </c>
      <c r="M419" s="35">
        <v>-1</v>
      </c>
      <c r="N419" s="35">
        <v>-1</v>
      </c>
      <c r="O419" s="35">
        <v>-1</v>
      </c>
      <c r="P419" s="35">
        <v>-1</v>
      </c>
      <c r="Q419" s="35">
        <v>-1</v>
      </c>
      <c r="S419" s="5" t="str">
        <f>IF(_xlfn.XLOOKUP(StatTbl[[#This Row],[Join]],TargetSlots[Join],TargetSlots[Join],"Не найдено")&lt;&gt;"Не найдено","Ищем","Не ищем")</f>
        <v>Не ищем</v>
      </c>
      <c r="T419" s="4" t="str">
        <f ca="1">IF(COUNTIFS(OFFSET(D419:$Q419,0,SearchDay-1,,15-SearchDay),"&lt;="&amp; ValidC,OFFSET(D419:$Q419,0,SearchDay-1,,15-SearchDay),"&gt;-1")&gt;0,"Есть слот!","Ничего")</f>
        <v>Ничего</v>
      </c>
      <c r="U419">
        <f ca="1">IF(S419="Ищем",IF(StatTbl[[#This Row],[Доступность]]="Есть слот!",COUNTIFS(OFFSET(D419:$Q419,0,SearchDay-1),"&lt;="&amp; ValidC,OFFSET(D419:$Q419,0,SearchDay-1),"&gt;-1"),0),0)</f>
        <v>0</v>
      </c>
      <c r="V419" t="str" cm="1">
        <f t="array" aca="1" ref="V419" ca="1">IF(StatTbl[[#This Row],[Кол-во слотов]]&gt;0, B419&amp;" "&amp;C419&amp;" "&amp;_xlfn.TEXTJOIN(", ",FALSE,TEXT(_xlfn._xlws.FILTER(OFFSET($D$8:$Q$8,0,SearchDay-1,,15-SearchDay),(OFFSET(D419:Q419,0,SearchDay-1,,15-SearchDay)&gt;-1)*(OFFSET(D419:Q419,0,SearchDay-1,,15-SearchDay)&lt;=ValidC)),"ДД/ММ")),"")</f>
        <v/>
      </c>
      <c r="W419" t="str">
        <f t="shared" si="6"/>
        <v>ЭлектростальСуперсейф</v>
      </c>
    </row>
    <row r="420" spans="2:23" x14ac:dyDescent="0.45">
      <c r="B420" s="12" t="s">
        <v>108</v>
      </c>
      <c r="C420" s="12" t="s">
        <v>111</v>
      </c>
      <c r="D420" s="35">
        <v>20</v>
      </c>
      <c r="E420" s="35">
        <v>20</v>
      </c>
      <c r="F420" s="35">
        <v>20</v>
      </c>
      <c r="G420" s="35">
        <v>20</v>
      </c>
      <c r="H420" s="35">
        <v>20</v>
      </c>
      <c r="I420" s="35">
        <v>20</v>
      </c>
      <c r="J420" s="35">
        <v>20</v>
      </c>
      <c r="K420" s="35">
        <v>20</v>
      </c>
      <c r="L420" s="35">
        <v>20</v>
      </c>
      <c r="M420" s="35">
        <v>20</v>
      </c>
      <c r="N420" s="35">
        <v>20</v>
      </c>
      <c r="O420" s="35">
        <v>-1</v>
      </c>
      <c r="P420" s="35">
        <v>-1</v>
      </c>
      <c r="Q420" s="35">
        <v>-1</v>
      </c>
      <c r="S420" s="5" t="str">
        <f>IF(_xlfn.XLOOKUP(StatTbl[[#This Row],[Join]],TargetSlots[Join],TargetSlots[Join],"Не найдено")&lt;&gt;"Не найдено","Ищем","Не ищем")</f>
        <v>Ищем</v>
      </c>
      <c r="T420" s="4" t="str">
        <f ca="1">IF(COUNTIFS(OFFSET(D420:$Q420,0,SearchDay-1,,15-SearchDay),"&lt;="&amp; ValidC,OFFSET(D420:$Q420,0,SearchDay-1,,15-SearchDay),"&gt;-1")&gt;0,"Есть слот!","Ничего")</f>
        <v>Ничего</v>
      </c>
      <c r="U420">
        <f ca="1">IF(S420="Ищем",IF(StatTbl[[#This Row],[Доступность]]="Есть слот!",COUNTIFS(OFFSET(D420:$Q420,0,SearchDay-1),"&lt;="&amp; ValidC,OFFSET(D420:$Q420,0,SearchDay-1),"&gt;-1"),0),0)</f>
        <v>0</v>
      </c>
      <c r="V420" t="str" cm="1">
        <f t="array" aca="1" ref="V420" ca="1">IF(StatTbl[[#This Row],[Кол-во слотов]]&gt;0, B420&amp;" "&amp;C420&amp;" "&amp;_xlfn.TEXTJOIN(", ",FALSE,TEXT(_xlfn._xlws.FILTER(OFFSET($D$8:$Q$8,0,SearchDay-1,,15-SearchDay),(OFFSET(D420:Q420,0,SearchDay-1,,15-SearchDay)&gt;-1)*(OFFSET(D420:Q420,0,SearchDay-1,,15-SearchDay)&lt;=ValidC)),"ДД/ММ")),"")</f>
        <v/>
      </c>
      <c r="W420" t="str">
        <f t="shared" si="6"/>
        <v>ЭлектростальQR-поставка</v>
      </c>
    </row>
    <row r="421" spans="2:23" x14ac:dyDescent="0.45">
      <c r="B421" s="12" t="s">
        <v>160</v>
      </c>
      <c r="C421" s="12" t="s">
        <v>109</v>
      </c>
      <c r="D421" s="35">
        <v>-1</v>
      </c>
      <c r="E421" s="35">
        <v>-1</v>
      </c>
      <c r="F421" s="35">
        <v>-1</v>
      </c>
      <c r="G421" s="35">
        <v>-1</v>
      </c>
      <c r="H421" s="35">
        <v>-1</v>
      </c>
      <c r="I421" s="35">
        <v>-1</v>
      </c>
      <c r="J421" s="35">
        <v>-1</v>
      </c>
      <c r="K421" s="35">
        <v>-1</v>
      </c>
      <c r="L421" s="35">
        <v>-1</v>
      </c>
      <c r="M421" s="35">
        <v>-1</v>
      </c>
      <c r="N421" s="35">
        <v>-1</v>
      </c>
      <c r="O421" s="35">
        <v>-1</v>
      </c>
      <c r="P421" s="35">
        <v>-1</v>
      </c>
      <c r="Q421" s="35">
        <v>-1</v>
      </c>
      <c r="S421" s="5" t="str">
        <f>IF(_xlfn.XLOOKUP(StatTbl[[#This Row],[Join]],TargetSlots[Join],TargetSlots[Join],"Не найдено")&lt;&gt;"Не найдено","Ищем","Не ищем")</f>
        <v>Не ищем</v>
      </c>
      <c r="T421" s="4" t="str">
        <f ca="1">IF(COUNTIFS(OFFSET(D421:$Q421,0,SearchDay-1,,15-SearchDay),"&lt;="&amp; ValidC,OFFSET(D421:$Q421,0,SearchDay-1,,15-SearchDay),"&gt;-1")&gt;0,"Есть слот!","Ничего")</f>
        <v>Ничего</v>
      </c>
      <c r="U421">
        <f ca="1">IF(S421="Ищем",IF(StatTbl[[#This Row],[Доступность]]="Есть слот!",COUNTIFS(OFFSET(D421:$Q421,0,SearchDay-1),"&lt;="&amp; ValidC,OFFSET(D421:$Q421,0,SearchDay-1),"&gt;-1"),0),0)</f>
        <v>0</v>
      </c>
      <c r="V421" t="str" cm="1">
        <f t="array" aca="1" ref="V421" ca="1">IF(StatTbl[[#This Row],[Кол-во слотов]]&gt;0, B421&amp;" "&amp;C421&amp;" "&amp;_xlfn.TEXTJOIN(", ",FALSE,TEXT(_xlfn._xlws.FILTER(OFFSET($D$8:$Q$8,0,SearchDay-1,,15-SearchDay),(OFFSET(D421:Q421,0,SearchDay-1,,15-SearchDay)&gt;-1)*(OFFSET(D421:Q421,0,SearchDay-1,,15-SearchDay)&lt;=ValidC)),"ДД/ММ")),"")</f>
        <v/>
      </c>
      <c r="W421" t="str">
        <f t="shared" si="6"/>
        <v>СЦ СабуровоКороба</v>
      </c>
    </row>
    <row r="422" spans="2:23" x14ac:dyDescent="0.45">
      <c r="B422" s="12" t="s">
        <v>160</v>
      </c>
      <c r="C422" s="12" t="s">
        <v>110</v>
      </c>
      <c r="D422" s="35">
        <v>-1</v>
      </c>
      <c r="E422" s="35">
        <v>-1</v>
      </c>
      <c r="F422" s="35">
        <v>-1</v>
      </c>
      <c r="G422" s="35">
        <v>-1</v>
      </c>
      <c r="H422" s="35">
        <v>-1</v>
      </c>
      <c r="I422" s="35">
        <v>-1</v>
      </c>
      <c r="J422" s="35">
        <v>-1</v>
      </c>
      <c r="K422" s="35">
        <v>-1</v>
      </c>
      <c r="L422" s="35">
        <v>-1</v>
      </c>
      <c r="M422" s="35">
        <v>-1</v>
      </c>
      <c r="N422" s="35">
        <v>-1</v>
      </c>
      <c r="O422" s="35">
        <v>-1</v>
      </c>
      <c r="P422" s="35">
        <v>-1</v>
      </c>
      <c r="Q422" s="35">
        <v>-1</v>
      </c>
      <c r="S422" s="5" t="str">
        <f>IF(_xlfn.XLOOKUP(StatTbl[[#This Row],[Join]],TargetSlots[Join],TargetSlots[Join],"Не найдено")&lt;&gt;"Не найдено","Ищем","Не ищем")</f>
        <v>Не ищем</v>
      </c>
      <c r="T422" s="4" t="str">
        <f ca="1">IF(COUNTIFS(OFFSET(D422:$Q422,0,SearchDay-1,,15-SearchDay),"&lt;="&amp; ValidC,OFFSET(D422:$Q422,0,SearchDay-1,,15-SearchDay),"&gt;-1")&gt;0,"Есть слот!","Ничего")</f>
        <v>Ничего</v>
      </c>
      <c r="U422">
        <f ca="1">IF(S422="Ищем",IF(StatTbl[[#This Row],[Доступность]]="Есть слот!",COUNTIFS(OFFSET(D422:$Q422,0,SearchDay-1),"&lt;="&amp; ValidC,OFFSET(D422:$Q422,0,SearchDay-1),"&gt;-1"),0),0)</f>
        <v>0</v>
      </c>
      <c r="V422" t="str" cm="1">
        <f t="array" aca="1" ref="V422" ca="1">IF(StatTbl[[#This Row],[Кол-во слотов]]&gt;0, B422&amp;" "&amp;C422&amp;" "&amp;_xlfn.TEXTJOIN(", ",FALSE,TEXT(_xlfn._xlws.FILTER(OFFSET($D$8:$Q$8,0,SearchDay-1,,15-SearchDay),(OFFSET(D422:Q422,0,SearchDay-1,,15-SearchDay)&gt;-1)*(OFFSET(D422:Q422,0,SearchDay-1,,15-SearchDay)&lt;=ValidC)),"ДД/ММ")),"")</f>
        <v/>
      </c>
      <c r="W422" t="str">
        <f t="shared" si="6"/>
        <v>СЦ СабуровоМонопаллеты</v>
      </c>
    </row>
    <row r="423" spans="2:23" x14ac:dyDescent="0.45">
      <c r="B423" s="12" t="s">
        <v>160</v>
      </c>
      <c r="C423" s="12" t="s">
        <v>6</v>
      </c>
      <c r="D423" s="35">
        <v>-1</v>
      </c>
      <c r="E423" s="35">
        <v>-1</v>
      </c>
      <c r="F423" s="35">
        <v>-1</v>
      </c>
      <c r="G423" s="35">
        <v>-1</v>
      </c>
      <c r="H423" s="35">
        <v>-1</v>
      </c>
      <c r="I423" s="35">
        <v>-1</v>
      </c>
      <c r="J423" s="35">
        <v>-1</v>
      </c>
      <c r="K423" s="35">
        <v>-1</v>
      </c>
      <c r="L423" s="35">
        <v>-1</v>
      </c>
      <c r="M423" s="35">
        <v>-1</v>
      </c>
      <c r="N423" s="35">
        <v>-1</v>
      </c>
      <c r="O423" s="35">
        <v>-1</v>
      </c>
      <c r="P423" s="35">
        <v>-1</v>
      </c>
      <c r="Q423" s="35">
        <v>-1</v>
      </c>
      <c r="S423" s="5" t="str">
        <f>IF(_xlfn.XLOOKUP(StatTbl[[#This Row],[Join]],TargetSlots[Join],TargetSlots[Join],"Не найдено")&lt;&gt;"Не найдено","Ищем","Не ищем")</f>
        <v>Не ищем</v>
      </c>
      <c r="T423" s="4" t="str">
        <f ca="1">IF(COUNTIFS(OFFSET(D423:$Q423,0,SearchDay-1,,15-SearchDay),"&lt;="&amp; ValidC,OFFSET(D423:$Q423,0,SearchDay-1,,15-SearchDay),"&gt;-1")&gt;0,"Есть слот!","Ничего")</f>
        <v>Ничего</v>
      </c>
      <c r="U423">
        <f ca="1">IF(S423="Ищем",IF(StatTbl[[#This Row],[Доступность]]="Есть слот!",COUNTIFS(OFFSET(D423:$Q423,0,SearchDay-1),"&lt;="&amp; ValidC,OFFSET(D423:$Q423,0,SearchDay-1),"&gt;-1"),0),0)</f>
        <v>0</v>
      </c>
      <c r="V423" t="str" cm="1">
        <f t="array" aca="1" ref="V423" ca="1">IF(StatTbl[[#This Row],[Кол-во слотов]]&gt;0, B423&amp;" "&amp;C423&amp;" "&amp;_xlfn.TEXTJOIN(", ",FALSE,TEXT(_xlfn._xlws.FILTER(OFFSET($D$8:$Q$8,0,SearchDay-1,,15-SearchDay),(OFFSET(D423:Q423,0,SearchDay-1,,15-SearchDay)&gt;-1)*(OFFSET(D423:Q423,0,SearchDay-1,,15-SearchDay)&lt;=ValidC)),"ДД/ММ")),"")</f>
        <v/>
      </c>
      <c r="W423" t="str">
        <f t="shared" si="6"/>
        <v>СЦ СабуровоСуперсейф</v>
      </c>
    </row>
    <row r="424" spans="2:23" x14ac:dyDescent="0.45">
      <c r="B424" s="12" t="s">
        <v>160</v>
      </c>
      <c r="C424" s="12" t="s">
        <v>111</v>
      </c>
      <c r="D424" s="35">
        <v>-1</v>
      </c>
      <c r="E424" s="35">
        <v>-1</v>
      </c>
      <c r="F424" s="35">
        <v>-1</v>
      </c>
      <c r="G424" s="35">
        <v>-1</v>
      </c>
      <c r="H424" s="35">
        <v>-1</v>
      </c>
      <c r="I424" s="35">
        <v>-1</v>
      </c>
      <c r="J424" s="35">
        <v>-1</v>
      </c>
      <c r="K424" s="35">
        <v>-1</v>
      </c>
      <c r="L424" s="35">
        <v>-1</v>
      </c>
      <c r="M424" s="35">
        <v>-1</v>
      </c>
      <c r="N424" s="35">
        <v>-1</v>
      </c>
      <c r="O424" s="35">
        <v>-1</v>
      </c>
      <c r="P424" s="35">
        <v>-1</v>
      </c>
      <c r="Q424" s="35">
        <v>-1</v>
      </c>
      <c r="S424" s="5" t="str">
        <f>IF(_xlfn.XLOOKUP(StatTbl[[#This Row],[Join]],TargetSlots[Join],TargetSlots[Join],"Не найдено")&lt;&gt;"Не найдено","Ищем","Не ищем")</f>
        <v>Не ищем</v>
      </c>
      <c r="T424" s="4" t="str">
        <f ca="1">IF(COUNTIFS(OFFSET(D424:$Q424,0,SearchDay-1,,15-SearchDay),"&lt;="&amp; ValidC,OFFSET(D424:$Q424,0,SearchDay-1,,15-SearchDay),"&gt;-1")&gt;0,"Есть слот!","Ничего")</f>
        <v>Ничего</v>
      </c>
      <c r="U424">
        <f ca="1">IF(S424="Ищем",IF(StatTbl[[#This Row],[Доступность]]="Есть слот!",COUNTIFS(OFFSET(D424:$Q424,0,SearchDay-1),"&lt;="&amp; ValidC,OFFSET(D424:$Q424,0,SearchDay-1),"&gt;-1"),0),0)</f>
        <v>0</v>
      </c>
      <c r="V424" t="str" cm="1">
        <f t="array" aca="1" ref="V424" ca="1">IF(StatTbl[[#This Row],[Кол-во слотов]]&gt;0, B424&amp;" "&amp;C424&amp;" "&amp;_xlfn.TEXTJOIN(", ",FALSE,TEXT(_xlfn._xlws.FILTER(OFFSET($D$8:$Q$8,0,SearchDay-1,,15-SearchDay),(OFFSET(D424:Q424,0,SearchDay-1,,15-SearchDay)&gt;-1)*(OFFSET(D424:Q424,0,SearchDay-1,,15-SearchDay)&lt;=ValidC)),"ДД/ММ")),"")</f>
        <v/>
      </c>
      <c r="W424" t="str">
        <f t="shared" si="6"/>
        <v>СЦ СабуровоQR-поставка</v>
      </c>
    </row>
    <row r="425" spans="2:23" x14ac:dyDescent="0.45">
      <c r="B425" s="12" t="s">
        <v>161</v>
      </c>
      <c r="C425" s="12" t="s">
        <v>109</v>
      </c>
      <c r="D425" s="35">
        <v>-1</v>
      </c>
      <c r="E425" s="35">
        <v>-1</v>
      </c>
      <c r="F425" s="35">
        <v>-1</v>
      </c>
      <c r="G425" s="35">
        <v>-1</v>
      </c>
      <c r="H425" s="35">
        <v>-1</v>
      </c>
      <c r="I425" s="35">
        <v>-1</v>
      </c>
      <c r="J425" s="35">
        <v>-1</v>
      </c>
      <c r="K425" s="35">
        <v>-1</v>
      </c>
      <c r="L425" s="35">
        <v>-1</v>
      </c>
      <c r="M425" s="35">
        <v>-1</v>
      </c>
      <c r="N425" s="35">
        <v>-1</v>
      </c>
      <c r="O425" s="35">
        <v>-1</v>
      </c>
      <c r="P425" s="35">
        <v>-1</v>
      </c>
      <c r="Q425" s="35">
        <v>-1</v>
      </c>
      <c r="S425" s="5" t="str">
        <f>IF(_xlfn.XLOOKUP(StatTbl[[#This Row],[Join]],TargetSlots[Join],TargetSlots[Join],"Не найдено")&lt;&gt;"Не найдено","Ищем","Не ищем")</f>
        <v>Не ищем</v>
      </c>
      <c r="T425" s="4" t="str">
        <f ca="1">IF(COUNTIFS(OFFSET(D425:$Q425,0,SearchDay-1,,15-SearchDay),"&lt;="&amp; ValidC,OFFSET(D425:$Q425,0,SearchDay-1,,15-SearchDay),"&gt;-1")&gt;0,"Есть слот!","Ничего")</f>
        <v>Ничего</v>
      </c>
      <c r="U425">
        <f ca="1">IF(S425="Ищем",IF(StatTbl[[#This Row],[Доступность]]="Есть слот!",COUNTIFS(OFFSET(D425:$Q425,0,SearchDay-1),"&lt;="&amp; ValidC,OFFSET(D425:$Q425,0,SearchDay-1),"&gt;-1"),0),0)</f>
        <v>0</v>
      </c>
      <c r="V425" t="str" cm="1">
        <f t="array" aca="1" ref="V425" ca="1">IF(StatTbl[[#This Row],[Кол-во слотов]]&gt;0, B425&amp;" "&amp;C425&amp;" "&amp;_xlfn.TEXTJOIN(", ",FALSE,TEXT(_xlfn._xlws.FILTER(OFFSET($D$8:$Q$8,0,SearchDay-1,,15-SearchDay),(OFFSET(D425:Q425,0,SearchDay-1,,15-SearchDay)&gt;-1)*(OFFSET(D425:Q425,0,SearchDay-1,,15-SearchDay)&lt;=ValidC)),"ДД/ММ")),"")</f>
        <v/>
      </c>
      <c r="W425" t="str">
        <f t="shared" ref="W425:W428" si="8">B425&amp;C425</f>
        <v>СЦ ГродноКороба</v>
      </c>
    </row>
    <row r="426" spans="2:23" x14ac:dyDescent="0.45">
      <c r="B426" s="12" t="s">
        <v>161</v>
      </c>
      <c r="C426" s="12" t="s">
        <v>110</v>
      </c>
      <c r="D426" s="35">
        <v>0</v>
      </c>
      <c r="E426" s="35">
        <v>0</v>
      </c>
      <c r="F426" s="35">
        <v>-1</v>
      </c>
      <c r="G426" s="35">
        <v>-1</v>
      </c>
      <c r="H426" s="35">
        <v>-1</v>
      </c>
      <c r="I426" s="35">
        <v>-1</v>
      </c>
      <c r="J426" s="35">
        <v>-1</v>
      </c>
      <c r="K426" s="35">
        <v>-1</v>
      </c>
      <c r="L426" s="35">
        <v>-1</v>
      </c>
      <c r="M426" s="35">
        <v>-1</v>
      </c>
      <c r="N426" s="35">
        <v>-1</v>
      </c>
      <c r="O426" s="35">
        <v>-1</v>
      </c>
      <c r="P426" s="35">
        <v>-1</v>
      </c>
      <c r="Q426" s="35">
        <v>-1</v>
      </c>
      <c r="S426" s="5" t="str">
        <f>IF(_xlfn.XLOOKUP(StatTbl[[#This Row],[Join]],TargetSlots[Join],TargetSlots[Join],"Не найдено")&lt;&gt;"Не найдено","Ищем","Не ищем")</f>
        <v>Не ищем</v>
      </c>
      <c r="T426" s="4" t="str">
        <f ca="1">IF(COUNTIFS(OFFSET(D426:$Q426,0,SearchDay-1,,15-SearchDay),"&lt;="&amp; ValidC,OFFSET(D426:$Q426,0,SearchDay-1,,15-SearchDay),"&gt;-1")&gt;0,"Есть слот!","Ничего")</f>
        <v>Есть слот!</v>
      </c>
      <c r="U426">
        <f ca="1">IF(S426="Ищем",IF(StatTbl[[#This Row],[Доступность]]="Есть слот!",COUNTIFS(OFFSET(D426:$Q426,0,SearchDay-1),"&lt;="&amp; ValidC,OFFSET(D426:$Q426,0,SearchDay-1),"&gt;-1"),0),0)</f>
        <v>0</v>
      </c>
      <c r="V426" t="str" cm="1">
        <f t="array" aca="1" ref="V426" ca="1">IF(StatTbl[[#This Row],[Кол-во слотов]]&gt;0, B426&amp;" "&amp;C426&amp;" "&amp;_xlfn.TEXTJOIN(", ",FALSE,TEXT(_xlfn._xlws.FILTER(OFFSET($D$8:$Q$8,0,SearchDay-1,,15-SearchDay),(OFFSET(D426:Q426,0,SearchDay-1,,15-SearchDay)&gt;-1)*(OFFSET(D426:Q426,0,SearchDay-1,,15-SearchDay)&lt;=ValidC)),"ДД/ММ")),"")</f>
        <v/>
      </c>
      <c r="W426" t="str">
        <f t="shared" si="8"/>
        <v>СЦ ГродноМонопаллеты</v>
      </c>
    </row>
    <row r="427" spans="2:23" x14ac:dyDescent="0.45">
      <c r="B427" s="12" t="s">
        <v>161</v>
      </c>
      <c r="C427" s="12" t="s">
        <v>6</v>
      </c>
      <c r="D427" s="35">
        <v>-1</v>
      </c>
      <c r="E427" s="35">
        <v>-1</v>
      </c>
      <c r="F427" s="35">
        <v>-1</v>
      </c>
      <c r="G427" s="35">
        <v>-1</v>
      </c>
      <c r="H427" s="35">
        <v>-1</v>
      </c>
      <c r="I427" s="35">
        <v>-1</v>
      </c>
      <c r="J427" s="35">
        <v>-1</v>
      </c>
      <c r="K427" s="35">
        <v>-1</v>
      </c>
      <c r="L427" s="35">
        <v>-1</v>
      </c>
      <c r="M427" s="35">
        <v>-1</v>
      </c>
      <c r="N427" s="35">
        <v>-1</v>
      </c>
      <c r="O427" s="35">
        <v>-1</v>
      </c>
      <c r="P427" s="35">
        <v>-1</v>
      </c>
      <c r="Q427" s="35">
        <v>-1</v>
      </c>
      <c r="S427" s="5" t="str">
        <f>IF(_xlfn.XLOOKUP(StatTbl[[#This Row],[Join]],TargetSlots[Join],TargetSlots[Join],"Не найдено")&lt;&gt;"Не найдено","Ищем","Не ищем")</f>
        <v>Не ищем</v>
      </c>
      <c r="T427" s="4" t="str">
        <f ca="1">IF(COUNTIFS(OFFSET(D427:$Q427,0,SearchDay-1,,15-SearchDay),"&lt;="&amp; ValidC,OFFSET(D427:$Q427,0,SearchDay-1,,15-SearchDay),"&gt;-1")&gt;0,"Есть слот!","Ничего")</f>
        <v>Ничего</v>
      </c>
      <c r="U427">
        <f ca="1">IF(S427="Ищем",IF(StatTbl[[#This Row],[Доступность]]="Есть слот!",COUNTIFS(OFFSET(D427:$Q427,0,SearchDay-1),"&lt;="&amp; ValidC,OFFSET(D427:$Q427,0,SearchDay-1),"&gt;-1"),0),0)</f>
        <v>0</v>
      </c>
      <c r="V427" t="str" cm="1">
        <f t="array" aca="1" ref="V427" ca="1">IF(StatTbl[[#This Row],[Кол-во слотов]]&gt;0, B427&amp;" "&amp;C427&amp;" "&amp;_xlfn.TEXTJOIN(", ",FALSE,TEXT(_xlfn._xlws.FILTER(OFFSET($D$8:$Q$8,0,SearchDay-1,,15-SearchDay),(OFFSET(D427:Q427,0,SearchDay-1,,15-SearchDay)&gt;-1)*(OFFSET(D427:Q427,0,SearchDay-1,,15-SearchDay)&lt;=ValidC)),"ДД/ММ")),"")</f>
        <v/>
      </c>
      <c r="W427" t="str">
        <f t="shared" si="8"/>
        <v>СЦ ГродноСуперсейф</v>
      </c>
    </row>
    <row r="428" spans="2:23" x14ac:dyDescent="0.45">
      <c r="B428" s="12" t="s">
        <v>161</v>
      </c>
      <c r="C428" s="12" t="s">
        <v>111</v>
      </c>
      <c r="D428" s="35">
        <v>-1</v>
      </c>
      <c r="E428" s="35">
        <v>-1</v>
      </c>
      <c r="F428" s="35">
        <v>-1</v>
      </c>
      <c r="G428" s="35">
        <v>-1</v>
      </c>
      <c r="H428" s="35">
        <v>-1</v>
      </c>
      <c r="I428" s="35">
        <v>-1</v>
      </c>
      <c r="J428" s="35">
        <v>-1</v>
      </c>
      <c r="K428" s="35">
        <v>-1</v>
      </c>
      <c r="L428" s="35">
        <v>-1</v>
      </c>
      <c r="M428" s="35">
        <v>-1</v>
      </c>
      <c r="N428" s="35">
        <v>-1</v>
      </c>
      <c r="O428" s="35">
        <v>-1</v>
      </c>
      <c r="P428" s="35">
        <v>-1</v>
      </c>
      <c r="Q428" s="35">
        <v>-1</v>
      </c>
      <c r="S428" s="5" t="str">
        <f>IF(_xlfn.XLOOKUP(StatTbl[[#This Row],[Join]],TargetSlots[Join],TargetSlots[Join],"Не найдено")&lt;&gt;"Не найдено","Ищем","Не ищем")</f>
        <v>Не ищем</v>
      </c>
      <c r="T428" s="4" t="str">
        <f ca="1">IF(COUNTIFS(OFFSET(D428:$Q428,0,SearchDay-1,,15-SearchDay),"&lt;="&amp; ValidC,OFFSET(D428:$Q428,0,SearchDay-1,,15-SearchDay),"&gt;-1")&gt;0,"Есть слот!","Ничего")</f>
        <v>Ничего</v>
      </c>
      <c r="U428">
        <f ca="1">IF(S428="Ищем",IF(StatTbl[[#This Row],[Доступность]]="Есть слот!",COUNTIFS(OFFSET(D428:$Q428,0,SearchDay-1),"&lt;="&amp; ValidC,OFFSET(D428:$Q428,0,SearchDay-1),"&gt;-1"),0),0)</f>
        <v>0</v>
      </c>
      <c r="V428" t="str" cm="1">
        <f t="array" aca="1" ref="V428" ca="1">IF(StatTbl[[#This Row],[Кол-во слотов]]&gt;0, B428&amp;" "&amp;C428&amp;" "&amp;_xlfn.TEXTJOIN(", ",FALSE,TEXT(_xlfn._xlws.FILTER(OFFSET($D$8:$Q$8,0,SearchDay-1,,15-SearchDay),(OFFSET(D428:Q428,0,SearchDay-1,,15-SearchDay)&gt;-1)*(OFFSET(D428:Q428,0,SearchDay-1,,15-SearchDay)&lt;=ValidC)),"ДД/ММ")),"")</f>
        <v/>
      </c>
      <c r="W428" t="str">
        <f t="shared" si="8"/>
        <v>СЦ ГродноQR-поставка</v>
      </c>
    </row>
  </sheetData>
  <conditionalFormatting pivot="1" sqref="D9:Q428">
    <cfRule type="cellIs" dxfId="30" priority="10" operator="lessThan">
      <formula>0</formula>
    </cfRule>
  </conditionalFormatting>
  <conditionalFormatting pivot="1" sqref="D9:Q428">
    <cfRule type="cellIs" dxfId="29" priority="5" operator="equal">
      <formula>0</formula>
    </cfRule>
  </conditionalFormatting>
  <conditionalFormatting pivot="1" sqref="D9:Q428">
    <cfRule type="cellIs" dxfId="28" priority="4" operator="between">
      <formula>1</formula>
      <formula>2</formula>
    </cfRule>
  </conditionalFormatting>
  <conditionalFormatting pivot="1" sqref="D9:Q428">
    <cfRule type="cellIs" dxfId="27" priority="3" operator="greaterThan">
      <formula>2</formula>
    </cfRule>
  </conditionalFormatting>
  <conditionalFormatting sqref="F4">
    <cfRule type="cellIs" dxfId="26" priority="1" operator="greaterThan">
      <formula>0</formula>
    </cfRule>
    <cfRule type="cellIs" dxfId="25" priority="2" operator="greaterThan">
      <formula>0</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macro="[0]!RestartAutoRefresh">
                <anchor moveWithCells="1">
                  <from>
                    <xdr:col>3</xdr:col>
                    <xdr:colOff>481013</xdr:colOff>
                    <xdr:row>1</xdr:row>
                    <xdr:rowOff>133350</xdr:rowOff>
                  </from>
                  <to>
                    <xdr:col>4</xdr:col>
                    <xdr:colOff>247650</xdr:colOff>
                    <xdr:row>3</xdr:row>
                    <xdr:rowOff>80963</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xdr:col>
                    <xdr:colOff>9525</xdr:colOff>
                    <xdr:row>4</xdr:row>
                    <xdr:rowOff>9525</xdr:rowOff>
                  </from>
                  <to>
                    <xdr:col>3</xdr:col>
                    <xdr:colOff>0</xdr:colOff>
                    <xdr:row>5</xdr:row>
                    <xdr:rowOff>4763</xdr:rowOff>
                  </to>
                </anchor>
              </controlPr>
            </control>
          </mc:Choice>
        </mc:AlternateContent>
        <mc:AlternateContent xmlns:mc="http://schemas.openxmlformats.org/markup-compatibility/2006">
          <mc:Choice Requires="x14">
            <control shapeId="2052" r:id="rId6" name="Drop Down 4">
              <controlPr defaultSize="0" autoLine="0" autoPict="0">
                <anchor moveWithCells="1">
                  <from>
                    <xdr:col>2</xdr:col>
                    <xdr:colOff>9525</xdr:colOff>
                    <xdr:row>3</xdr:row>
                    <xdr:rowOff>4763</xdr:rowOff>
                  </from>
                  <to>
                    <xdr:col>3</xdr:col>
                    <xdr:colOff>0</xdr:colOff>
                    <xdr:row>4</xdr:row>
                    <xdr:rowOff>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D787-41B5-4E3F-9CBD-D48FBC4B855A}">
  <sheetPr codeName="Sheet2"/>
  <dimension ref="B1:L6"/>
  <sheetViews>
    <sheetView zoomScaleNormal="100" workbookViewId="0">
      <pane ySplit="1" topLeftCell="A2" activePane="bottomLeft" state="frozen"/>
      <selection pane="bottomLeft" activeCell="K2" sqref="K2"/>
    </sheetView>
  </sheetViews>
  <sheetFormatPr defaultRowHeight="14.25" x14ac:dyDescent="0.45"/>
  <cols>
    <col min="1" max="1" width="3.3984375" customWidth="1"/>
    <col min="2" max="2" width="16.06640625" customWidth="1"/>
    <col min="3" max="3" width="17.86328125" customWidth="1"/>
    <col min="4" max="4" width="17.46484375" hidden="1" customWidth="1"/>
    <col min="5" max="5" width="9.06640625" hidden="1" customWidth="1"/>
    <col min="6" max="6" width="23.1328125" customWidth="1"/>
  </cols>
  <sheetData>
    <row r="1" spans="2:12" s="21" customFormat="1" ht="28.25" customHeight="1" x14ac:dyDescent="0.45">
      <c r="B1" s="20" t="s">
        <v>159</v>
      </c>
      <c r="C1" s="20"/>
      <c r="K1" s="34"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 и Telegram Chat ID</v>
      </c>
      <c r="L1" s="34"/>
    </row>
    <row r="2" spans="2:12" x14ac:dyDescent="0.45">
      <c r="B2" s="33" t="s">
        <v>188</v>
      </c>
    </row>
    <row r="3" spans="2:12" s="1" customFormat="1" x14ac:dyDescent="0.45">
      <c r="B3" s="1" t="s">
        <v>0</v>
      </c>
      <c r="C3" s="1" t="s">
        <v>1</v>
      </c>
      <c r="D3" s="2" t="s">
        <v>3</v>
      </c>
      <c r="E3" s="2" t="s">
        <v>4</v>
      </c>
      <c r="F3" s="1" t="s">
        <v>2</v>
      </c>
    </row>
    <row r="4" spans="2:12" x14ac:dyDescent="0.45">
      <c r="B4" t="s">
        <v>108</v>
      </c>
      <c r="C4" t="s">
        <v>109</v>
      </c>
      <c r="D4" t="str">
        <f>TargetSlots[[#This Row],[Склад]]&amp;TargetSlots[[#This Row],[Тип]]</f>
        <v>ЭлектростальКороба</v>
      </c>
      <c r="E4">
        <f>IF(_xlfn.XLOOKUP(TargetSlots[[#This Row],[Join]],StatTbl[Join],StatTbl[Join],"Не найдено")="Не найдено",0,1)</f>
        <v>1</v>
      </c>
      <c r="F4" t="str">
        <f>IF(TargetSlots[[#This Row],[Check]]=0,"Cклад/Тип не найден или скрыт фильтрами","Всё ок, ищем")</f>
        <v>Всё ок, ищем</v>
      </c>
    </row>
    <row r="5" spans="2:12" x14ac:dyDescent="0.45">
      <c r="B5" t="s">
        <v>108</v>
      </c>
      <c r="C5" t="s">
        <v>110</v>
      </c>
      <c r="D5" t="str">
        <f>TargetSlots[[#This Row],[Склад]]&amp;TargetSlots[[#This Row],[Тип]]</f>
        <v>ЭлектростальМонопаллеты</v>
      </c>
      <c r="E5">
        <f>IF(_xlfn.XLOOKUP(TargetSlots[[#This Row],[Join]],StatTbl[Join],StatTbl[Join],"Не найдено")="Не найдено",0,1)</f>
        <v>1</v>
      </c>
      <c r="F5" t="str">
        <f>IF(TargetSlots[[#This Row],[Check]]=0,"Cклад/Тип не найден или скрыт фильтрами","Всё ок, ищем")</f>
        <v>Всё ок, ищем</v>
      </c>
    </row>
    <row r="6" spans="2:12" x14ac:dyDescent="0.45">
      <c r="B6" t="s">
        <v>108</v>
      </c>
      <c r="C6" t="s">
        <v>111</v>
      </c>
      <c r="D6" t="str">
        <f>TargetSlots[[#This Row],[Склад]]&amp;TargetSlots[[#This Row],[Тип]]</f>
        <v>ЭлектростальQR-поставка</v>
      </c>
      <c r="E6">
        <f>IF(_xlfn.XLOOKUP(TargetSlots[[#This Row],[Join]],StatTbl[Join],StatTbl[Join],"Не найдено")="Не найдено",0,1)</f>
        <v>1</v>
      </c>
      <c r="F6" t="str">
        <f>IF(TargetSlots[[#This Row],[Check]]=0,"Cклад/Тип не найден или скрыт фильтрами","Всё ок, ищем")</f>
        <v>Всё ок, ищем</v>
      </c>
    </row>
  </sheetData>
  <conditionalFormatting sqref="B4:B6">
    <cfRule type="expression" dxfId="8" priority="1">
      <formula>$E4=0</formula>
    </cfRule>
  </conditionalFormatting>
  <dataValidations count="2">
    <dataValidation type="list" allowBlank="1" showInputMessage="1" showErrorMessage="1" sqref="C4:C6" xr:uid="{4C108E1A-85CA-4DFF-978F-EB08064AFEE6}">
      <formula1>WarehousesTypes</formula1>
    </dataValidation>
    <dataValidation type="list" allowBlank="1" showInputMessage="1" showErrorMessage="1" sqref="B4:B6" xr:uid="{44D1CA05-5D3D-4733-88A6-48F97B8A9457}">
      <formula1>WarhousesNames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BEFE-BF7B-4E12-94B6-33C727ADC646}">
  <sheetPr codeName="Sheet4"/>
  <dimension ref="B1:W5"/>
  <sheetViews>
    <sheetView workbookViewId="0">
      <pane ySplit="1" topLeftCell="A2" activePane="bottomLeft" state="frozen"/>
      <selection pane="bottomLeft" activeCell="C3" sqref="C3"/>
    </sheetView>
  </sheetViews>
  <sheetFormatPr defaultRowHeight="14.25" x14ac:dyDescent="0.45"/>
  <cols>
    <col min="1" max="1" width="3.06640625" customWidth="1"/>
    <col min="3" max="3" width="18.265625" customWidth="1"/>
  </cols>
  <sheetData>
    <row r="1" spans="2:23" s="21" customFormat="1" ht="28.25" customHeight="1" x14ac:dyDescent="0.45">
      <c r="B1" s="20" t="s">
        <v>158</v>
      </c>
      <c r="K1" s="34"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 и Telegram Chat ID</v>
      </c>
      <c r="Q1" s="34"/>
      <c r="V1" s="21" t="str">
        <f ca="1">_xlfn.TEXTJOIN("; ",TRUE,StatTbl[Текст])</f>
        <v/>
      </c>
      <c r="W1" s="21">
        <f>IF(AutoSearchSlots=TRUE,1,0)</f>
        <v>0</v>
      </c>
    </row>
    <row r="3" spans="2:23" x14ac:dyDescent="0.45">
      <c r="B3" s="6" t="s">
        <v>7</v>
      </c>
      <c r="C3" s="29"/>
    </row>
    <row r="4" spans="2:23" x14ac:dyDescent="0.45">
      <c r="B4" s="6" t="s">
        <v>121</v>
      </c>
      <c r="C4" s="30"/>
    </row>
    <row r="5" spans="2:23" x14ac:dyDescent="0.45">
      <c r="B5" s="6" t="s">
        <v>131</v>
      </c>
      <c r="C5" s="29" t="s">
        <v>132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7E99-A9F2-4E63-9B05-37BD0CDF40DB}">
  <sheetPr codeName="Sheet5"/>
  <dimension ref="A1:B2"/>
  <sheetViews>
    <sheetView workbookViewId="0">
      <selection sqref="A1:B2"/>
    </sheetView>
  </sheetViews>
  <sheetFormatPr defaultRowHeight="14.25" x14ac:dyDescent="0.45"/>
  <cols>
    <col min="1" max="1" width="16.53125" bestFit="1" customWidth="1"/>
    <col min="2" max="2" width="15.6640625" bestFit="1" customWidth="1"/>
  </cols>
  <sheetData>
    <row r="1" spans="1:2" x14ac:dyDescent="0.45">
      <c r="A1" t="s">
        <v>181</v>
      </c>
      <c r="B1" t="s">
        <v>182</v>
      </c>
    </row>
    <row r="2" spans="1:2" x14ac:dyDescent="0.45">
      <c r="A2" t="s">
        <v>183</v>
      </c>
      <c r="B2" t="s">
        <v>184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DE867-08E3-4D51-96C6-4DC2ECDB7FE5}">
  <sheetPr codeName="Sheet3"/>
  <dimension ref="A1:J423"/>
  <sheetViews>
    <sheetView workbookViewId="0">
      <selection activeCell="I3" sqref="I3:J423"/>
    </sheetView>
  </sheetViews>
  <sheetFormatPr defaultRowHeight="14.25" x14ac:dyDescent="0.45"/>
  <cols>
    <col min="1" max="2" width="1.19921875" customWidth="1"/>
    <col min="9" max="9" width="29.86328125" bestFit="1" customWidth="1"/>
    <col min="10" max="10" width="14.265625" bestFit="1" customWidth="1"/>
  </cols>
  <sheetData>
    <row r="1" spans="1:10" x14ac:dyDescent="0.45">
      <c r="C1" s="6" t="s">
        <v>130</v>
      </c>
    </row>
    <row r="2" spans="1:10" x14ac:dyDescent="0.45">
      <c r="C2" s="7">
        <v>1</v>
      </c>
      <c r="F2" s="7">
        <v>1</v>
      </c>
    </row>
    <row r="3" spans="1:10" x14ac:dyDescent="0.45">
      <c r="A3" s="6"/>
      <c r="C3" s="6" t="s">
        <v>123</v>
      </c>
      <c r="F3" s="6" t="s">
        <v>134</v>
      </c>
      <c r="I3" t="s">
        <v>186</v>
      </c>
      <c r="J3" t="s">
        <v>187</v>
      </c>
    </row>
    <row r="4" spans="1:10" x14ac:dyDescent="0.45">
      <c r="C4" t="s">
        <v>124</v>
      </c>
      <c r="F4" t="s">
        <v>135</v>
      </c>
      <c r="I4" t="s">
        <v>8</v>
      </c>
      <c r="J4" t="s">
        <v>111</v>
      </c>
    </row>
    <row r="5" spans="1:10" x14ac:dyDescent="0.45">
      <c r="C5" t="s">
        <v>125</v>
      </c>
      <c r="F5" t="s">
        <v>136</v>
      </c>
      <c r="I5" t="s">
        <v>8</v>
      </c>
      <c r="J5" t="s">
        <v>6</v>
      </c>
    </row>
    <row r="6" spans="1:10" x14ac:dyDescent="0.45">
      <c r="C6" t="s">
        <v>122</v>
      </c>
      <c r="F6" t="s">
        <v>137</v>
      </c>
      <c r="I6" t="s">
        <v>8</v>
      </c>
      <c r="J6" t="s">
        <v>109</v>
      </c>
    </row>
    <row r="7" spans="1:10" x14ac:dyDescent="0.45">
      <c r="C7" t="s">
        <v>126</v>
      </c>
      <c r="F7" s="14" t="s">
        <v>138</v>
      </c>
      <c r="I7" t="s">
        <v>8</v>
      </c>
      <c r="J7" t="s">
        <v>110</v>
      </c>
    </row>
    <row r="8" spans="1:10" x14ac:dyDescent="0.45">
      <c r="I8" t="s">
        <v>9</v>
      </c>
      <c r="J8" t="s">
        <v>109</v>
      </c>
    </row>
    <row r="9" spans="1:10" x14ac:dyDescent="0.45">
      <c r="I9" t="s">
        <v>9</v>
      </c>
      <c r="J9" t="s">
        <v>6</v>
      </c>
    </row>
    <row r="10" spans="1:10" x14ac:dyDescent="0.45">
      <c r="I10" t="s">
        <v>9</v>
      </c>
      <c r="J10" t="s">
        <v>111</v>
      </c>
    </row>
    <row r="11" spans="1:10" x14ac:dyDescent="0.45">
      <c r="I11" t="s">
        <v>9</v>
      </c>
      <c r="J11" t="s">
        <v>110</v>
      </c>
    </row>
    <row r="12" spans="1:10" x14ac:dyDescent="0.45">
      <c r="I12" t="s">
        <v>10</v>
      </c>
      <c r="J12" t="s">
        <v>111</v>
      </c>
    </row>
    <row r="13" spans="1:10" x14ac:dyDescent="0.45">
      <c r="I13" t="s">
        <v>10</v>
      </c>
      <c r="J13" t="s">
        <v>6</v>
      </c>
    </row>
    <row r="14" spans="1:10" x14ac:dyDescent="0.45">
      <c r="I14" t="s">
        <v>10</v>
      </c>
      <c r="J14" t="s">
        <v>110</v>
      </c>
    </row>
    <row r="15" spans="1:10" x14ac:dyDescent="0.45">
      <c r="I15" t="s">
        <v>10</v>
      </c>
      <c r="J15" t="s">
        <v>109</v>
      </c>
    </row>
    <row r="16" spans="1:10" x14ac:dyDescent="0.45">
      <c r="I16" t="s">
        <v>11</v>
      </c>
      <c r="J16" t="s">
        <v>111</v>
      </c>
    </row>
    <row r="17" spans="9:10" x14ac:dyDescent="0.45">
      <c r="I17" t="s">
        <v>11</v>
      </c>
      <c r="J17" t="s">
        <v>110</v>
      </c>
    </row>
    <row r="18" spans="9:10" x14ac:dyDescent="0.45">
      <c r="I18" t="s">
        <v>11</v>
      </c>
      <c r="J18" t="s">
        <v>6</v>
      </c>
    </row>
    <row r="19" spans="9:10" x14ac:dyDescent="0.45">
      <c r="I19" t="s">
        <v>11</v>
      </c>
      <c r="J19" t="s">
        <v>109</v>
      </c>
    </row>
    <row r="20" spans="9:10" x14ac:dyDescent="0.45">
      <c r="I20" t="s">
        <v>12</v>
      </c>
      <c r="J20" t="s">
        <v>109</v>
      </c>
    </row>
    <row r="21" spans="9:10" x14ac:dyDescent="0.45">
      <c r="I21" t="s">
        <v>12</v>
      </c>
      <c r="J21" t="s">
        <v>110</v>
      </c>
    </row>
    <row r="22" spans="9:10" x14ac:dyDescent="0.45">
      <c r="I22" t="s">
        <v>12</v>
      </c>
      <c r="J22" t="s">
        <v>6</v>
      </c>
    </row>
    <row r="23" spans="9:10" x14ac:dyDescent="0.45">
      <c r="I23" t="s">
        <v>12</v>
      </c>
      <c r="J23" t="s">
        <v>111</v>
      </c>
    </row>
    <row r="24" spans="9:10" x14ac:dyDescent="0.45">
      <c r="I24" t="s">
        <v>13</v>
      </c>
      <c r="J24" t="s">
        <v>6</v>
      </c>
    </row>
    <row r="25" spans="9:10" x14ac:dyDescent="0.45">
      <c r="I25" t="s">
        <v>13</v>
      </c>
      <c r="J25" t="s">
        <v>111</v>
      </c>
    </row>
    <row r="26" spans="9:10" x14ac:dyDescent="0.45">
      <c r="I26" t="s">
        <v>13</v>
      </c>
      <c r="J26" t="s">
        <v>110</v>
      </c>
    </row>
    <row r="27" spans="9:10" x14ac:dyDescent="0.45">
      <c r="I27" t="s">
        <v>13</v>
      </c>
      <c r="J27" t="s">
        <v>109</v>
      </c>
    </row>
    <row r="28" spans="9:10" x14ac:dyDescent="0.45">
      <c r="I28" t="s">
        <v>14</v>
      </c>
      <c r="J28" t="s">
        <v>110</v>
      </c>
    </row>
    <row r="29" spans="9:10" x14ac:dyDescent="0.45">
      <c r="I29" t="s">
        <v>14</v>
      </c>
      <c r="J29" t="s">
        <v>109</v>
      </c>
    </row>
    <row r="30" spans="9:10" x14ac:dyDescent="0.45">
      <c r="I30" t="s">
        <v>14</v>
      </c>
      <c r="J30" t="s">
        <v>111</v>
      </c>
    </row>
    <row r="31" spans="9:10" x14ac:dyDescent="0.45">
      <c r="I31" t="s">
        <v>14</v>
      </c>
      <c r="J31" t="s">
        <v>6</v>
      </c>
    </row>
    <row r="32" spans="9:10" x14ac:dyDescent="0.45">
      <c r="I32" t="s">
        <v>15</v>
      </c>
      <c r="J32" t="s">
        <v>6</v>
      </c>
    </row>
    <row r="33" spans="9:10" x14ac:dyDescent="0.45">
      <c r="I33" t="s">
        <v>15</v>
      </c>
      <c r="J33" t="s">
        <v>110</v>
      </c>
    </row>
    <row r="34" spans="9:10" x14ac:dyDescent="0.45">
      <c r="I34" t="s">
        <v>15</v>
      </c>
      <c r="J34" t="s">
        <v>109</v>
      </c>
    </row>
    <row r="35" spans="9:10" x14ac:dyDescent="0.45">
      <c r="I35" t="s">
        <v>15</v>
      </c>
      <c r="J35" t="s">
        <v>111</v>
      </c>
    </row>
    <row r="36" spans="9:10" x14ac:dyDescent="0.45">
      <c r="I36" t="s">
        <v>16</v>
      </c>
      <c r="J36" t="s">
        <v>111</v>
      </c>
    </row>
    <row r="37" spans="9:10" x14ac:dyDescent="0.45">
      <c r="I37" t="s">
        <v>16</v>
      </c>
      <c r="J37" t="s">
        <v>109</v>
      </c>
    </row>
    <row r="38" spans="9:10" x14ac:dyDescent="0.45">
      <c r="I38" t="s">
        <v>16</v>
      </c>
      <c r="J38" t="s">
        <v>110</v>
      </c>
    </row>
    <row r="39" spans="9:10" x14ac:dyDescent="0.45">
      <c r="I39" t="s">
        <v>16</v>
      </c>
      <c r="J39" t="s">
        <v>6</v>
      </c>
    </row>
    <row r="40" spans="9:10" x14ac:dyDescent="0.45">
      <c r="I40" t="s">
        <v>17</v>
      </c>
      <c r="J40" t="s">
        <v>6</v>
      </c>
    </row>
    <row r="41" spans="9:10" x14ac:dyDescent="0.45">
      <c r="I41" t="s">
        <v>17</v>
      </c>
      <c r="J41" t="s">
        <v>111</v>
      </c>
    </row>
    <row r="42" spans="9:10" x14ac:dyDescent="0.45">
      <c r="I42" t="s">
        <v>17</v>
      </c>
      <c r="J42" t="s">
        <v>109</v>
      </c>
    </row>
    <row r="43" spans="9:10" x14ac:dyDescent="0.45">
      <c r="I43" t="s">
        <v>17</v>
      </c>
      <c r="J43" t="s">
        <v>110</v>
      </c>
    </row>
    <row r="44" spans="9:10" x14ac:dyDescent="0.45">
      <c r="I44" t="s">
        <v>18</v>
      </c>
      <c r="J44" t="s">
        <v>110</v>
      </c>
    </row>
    <row r="45" spans="9:10" x14ac:dyDescent="0.45">
      <c r="I45" t="s">
        <v>18</v>
      </c>
      <c r="J45" t="s">
        <v>6</v>
      </c>
    </row>
    <row r="46" spans="9:10" x14ac:dyDescent="0.45">
      <c r="I46" t="s">
        <v>18</v>
      </c>
      <c r="J46" t="s">
        <v>111</v>
      </c>
    </row>
    <row r="47" spans="9:10" x14ac:dyDescent="0.45">
      <c r="I47" t="s">
        <v>18</v>
      </c>
      <c r="J47" t="s">
        <v>109</v>
      </c>
    </row>
    <row r="48" spans="9:10" x14ac:dyDescent="0.45">
      <c r="I48" t="s">
        <v>19</v>
      </c>
      <c r="J48" t="s">
        <v>111</v>
      </c>
    </row>
    <row r="49" spans="9:10" x14ac:dyDescent="0.45">
      <c r="I49" t="s">
        <v>19</v>
      </c>
      <c r="J49" t="s">
        <v>109</v>
      </c>
    </row>
    <row r="50" spans="9:10" x14ac:dyDescent="0.45">
      <c r="I50" t="s">
        <v>19</v>
      </c>
      <c r="J50" t="s">
        <v>6</v>
      </c>
    </row>
    <row r="51" spans="9:10" x14ac:dyDescent="0.45">
      <c r="I51" t="s">
        <v>19</v>
      </c>
      <c r="J51" t="s">
        <v>110</v>
      </c>
    </row>
    <row r="52" spans="9:10" x14ac:dyDescent="0.45">
      <c r="I52" t="s">
        <v>20</v>
      </c>
      <c r="J52" t="s">
        <v>109</v>
      </c>
    </row>
    <row r="53" spans="9:10" x14ac:dyDescent="0.45">
      <c r="I53" t="s">
        <v>20</v>
      </c>
      <c r="J53" t="s">
        <v>110</v>
      </c>
    </row>
    <row r="54" spans="9:10" x14ac:dyDescent="0.45">
      <c r="I54" t="s">
        <v>20</v>
      </c>
      <c r="J54" t="s">
        <v>111</v>
      </c>
    </row>
    <row r="55" spans="9:10" x14ac:dyDescent="0.45">
      <c r="I55" t="s">
        <v>20</v>
      </c>
      <c r="J55" t="s">
        <v>6</v>
      </c>
    </row>
    <row r="56" spans="9:10" x14ac:dyDescent="0.45">
      <c r="I56" t="s">
        <v>180</v>
      </c>
      <c r="J56" t="s">
        <v>109</v>
      </c>
    </row>
    <row r="57" spans="9:10" x14ac:dyDescent="0.45">
      <c r="I57" t="s">
        <v>180</v>
      </c>
      <c r="J57" t="s">
        <v>6</v>
      </c>
    </row>
    <row r="58" spans="9:10" x14ac:dyDescent="0.45">
      <c r="I58" t="s">
        <v>180</v>
      </c>
      <c r="J58" t="s">
        <v>110</v>
      </c>
    </row>
    <row r="59" spans="9:10" x14ac:dyDescent="0.45">
      <c r="I59" t="s">
        <v>180</v>
      </c>
      <c r="J59" t="s">
        <v>111</v>
      </c>
    </row>
    <row r="60" spans="9:10" x14ac:dyDescent="0.45">
      <c r="I60" t="s">
        <v>21</v>
      </c>
      <c r="J60" t="s">
        <v>109</v>
      </c>
    </row>
    <row r="61" spans="9:10" x14ac:dyDescent="0.45">
      <c r="I61" t="s">
        <v>21</v>
      </c>
      <c r="J61" t="s">
        <v>110</v>
      </c>
    </row>
    <row r="62" spans="9:10" x14ac:dyDescent="0.45">
      <c r="I62" t="s">
        <v>21</v>
      </c>
      <c r="J62" t="s">
        <v>111</v>
      </c>
    </row>
    <row r="63" spans="9:10" x14ac:dyDescent="0.45">
      <c r="I63" t="s">
        <v>21</v>
      </c>
      <c r="J63" t="s">
        <v>6</v>
      </c>
    </row>
    <row r="64" spans="9:10" x14ac:dyDescent="0.45">
      <c r="I64" t="s">
        <v>22</v>
      </c>
      <c r="J64" t="s">
        <v>109</v>
      </c>
    </row>
    <row r="65" spans="9:10" x14ac:dyDescent="0.45">
      <c r="I65" t="s">
        <v>22</v>
      </c>
      <c r="J65" t="s">
        <v>6</v>
      </c>
    </row>
    <row r="66" spans="9:10" x14ac:dyDescent="0.45">
      <c r="I66" t="s">
        <v>22</v>
      </c>
      <c r="J66" t="s">
        <v>110</v>
      </c>
    </row>
    <row r="67" spans="9:10" x14ac:dyDescent="0.45">
      <c r="I67" t="s">
        <v>22</v>
      </c>
      <c r="J67" t="s">
        <v>111</v>
      </c>
    </row>
    <row r="68" spans="9:10" x14ac:dyDescent="0.45">
      <c r="I68" t="s">
        <v>23</v>
      </c>
      <c r="J68" t="s">
        <v>109</v>
      </c>
    </row>
    <row r="69" spans="9:10" x14ac:dyDescent="0.45">
      <c r="I69" t="s">
        <v>23</v>
      </c>
      <c r="J69" t="s">
        <v>110</v>
      </c>
    </row>
    <row r="70" spans="9:10" x14ac:dyDescent="0.45">
      <c r="I70" t="s">
        <v>23</v>
      </c>
      <c r="J70" t="s">
        <v>111</v>
      </c>
    </row>
    <row r="71" spans="9:10" x14ac:dyDescent="0.45">
      <c r="I71" t="s">
        <v>23</v>
      </c>
      <c r="J71" t="s">
        <v>6</v>
      </c>
    </row>
    <row r="72" spans="9:10" x14ac:dyDescent="0.45">
      <c r="I72" t="s">
        <v>24</v>
      </c>
      <c r="J72" t="s">
        <v>6</v>
      </c>
    </row>
    <row r="73" spans="9:10" x14ac:dyDescent="0.45">
      <c r="I73" t="s">
        <v>24</v>
      </c>
      <c r="J73" t="s">
        <v>111</v>
      </c>
    </row>
    <row r="74" spans="9:10" x14ac:dyDescent="0.45">
      <c r="I74" t="s">
        <v>24</v>
      </c>
      <c r="J74" t="s">
        <v>110</v>
      </c>
    </row>
    <row r="75" spans="9:10" x14ac:dyDescent="0.45">
      <c r="I75" t="s">
        <v>24</v>
      </c>
      <c r="J75" t="s">
        <v>109</v>
      </c>
    </row>
    <row r="76" spans="9:10" x14ac:dyDescent="0.45">
      <c r="I76" t="s">
        <v>25</v>
      </c>
      <c r="J76" t="s">
        <v>111</v>
      </c>
    </row>
    <row r="77" spans="9:10" x14ac:dyDescent="0.45">
      <c r="I77" t="s">
        <v>25</v>
      </c>
      <c r="J77" t="s">
        <v>109</v>
      </c>
    </row>
    <row r="78" spans="9:10" x14ac:dyDescent="0.45">
      <c r="I78" t="s">
        <v>25</v>
      </c>
      <c r="J78" t="s">
        <v>6</v>
      </c>
    </row>
    <row r="79" spans="9:10" x14ac:dyDescent="0.45">
      <c r="I79" t="s">
        <v>25</v>
      </c>
      <c r="J79" t="s">
        <v>110</v>
      </c>
    </row>
    <row r="80" spans="9:10" x14ac:dyDescent="0.45">
      <c r="I80" t="s">
        <v>5</v>
      </c>
      <c r="J80" t="s">
        <v>109</v>
      </c>
    </row>
    <row r="81" spans="9:10" x14ac:dyDescent="0.45">
      <c r="I81" t="s">
        <v>5</v>
      </c>
      <c r="J81" t="s">
        <v>111</v>
      </c>
    </row>
    <row r="82" spans="9:10" x14ac:dyDescent="0.45">
      <c r="I82" t="s">
        <v>5</v>
      </c>
      <c r="J82" t="s">
        <v>110</v>
      </c>
    </row>
    <row r="83" spans="9:10" x14ac:dyDescent="0.45">
      <c r="I83" t="s">
        <v>5</v>
      </c>
      <c r="J83" t="s">
        <v>6</v>
      </c>
    </row>
    <row r="84" spans="9:10" x14ac:dyDescent="0.45">
      <c r="I84" t="s">
        <v>26</v>
      </c>
      <c r="J84" t="s">
        <v>111</v>
      </c>
    </row>
    <row r="85" spans="9:10" x14ac:dyDescent="0.45">
      <c r="I85" t="s">
        <v>26</v>
      </c>
      <c r="J85" t="s">
        <v>6</v>
      </c>
    </row>
    <row r="86" spans="9:10" x14ac:dyDescent="0.45">
      <c r="I86" t="s">
        <v>26</v>
      </c>
      <c r="J86" t="s">
        <v>109</v>
      </c>
    </row>
    <row r="87" spans="9:10" x14ac:dyDescent="0.45">
      <c r="I87" t="s">
        <v>26</v>
      </c>
      <c r="J87" t="s">
        <v>110</v>
      </c>
    </row>
    <row r="88" spans="9:10" x14ac:dyDescent="0.45">
      <c r="I88" t="s">
        <v>27</v>
      </c>
      <c r="J88" t="s">
        <v>110</v>
      </c>
    </row>
    <row r="89" spans="9:10" x14ac:dyDescent="0.45">
      <c r="I89" t="s">
        <v>27</v>
      </c>
      <c r="J89" t="s">
        <v>111</v>
      </c>
    </row>
    <row r="90" spans="9:10" x14ac:dyDescent="0.45">
      <c r="I90" t="s">
        <v>27</v>
      </c>
      <c r="J90" t="s">
        <v>109</v>
      </c>
    </row>
    <row r="91" spans="9:10" x14ac:dyDescent="0.45">
      <c r="I91" t="s">
        <v>27</v>
      </c>
      <c r="J91" t="s">
        <v>6</v>
      </c>
    </row>
    <row r="92" spans="9:10" x14ac:dyDescent="0.45">
      <c r="I92" t="s">
        <v>28</v>
      </c>
      <c r="J92" t="s">
        <v>109</v>
      </c>
    </row>
    <row r="93" spans="9:10" x14ac:dyDescent="0.45">
      <c r="I93" t="s">
        <v>28</v>
      </c>
      <c r="J93" t="s">
        <v>6</v>
      </c>
    </row>
    <row r="94" spans="9:10" x14ac:dyDescent="0.45">
      <c r="I94" t="s">
        <v>28</v>
      </c>
      <c r="J94" t="s">
        <v>110</v>
      </c>
    </row>
    <row r="95" spans="9:10" x14ac:dyDescent="0.45">
      <c r="I95" t="s">
        <v>28</v>
      </c>
      <c r="J95" t="s">
        <v>111</v>
      </c>
    </row>
    <row r="96" spans="9:10" x14ac:dyDescent="0.45">
      <c r="I96" t="s">
        <v>29</v>
      </c>
      <c r="J96" t="s">
        <v>6</v>
      </c>
    </row>
    <row r="97" spans="9:10" x14ac:dyDescent="0.45">
      <c r="I97" t="s">
        <v>29</v>
      </c>
      <c r="J97" t="s">
        <v>109</v>
      </c>
    </row>
    <row r="98" spans="9:10" x14ac:dyDescent="0.45">
      <c r="I98" t="s">
        <v>29</v>
      </c>
      <c r="J98" t="s">
        <v>111</v>
      </c>
    </row>
    <row r="99" spans="9:10" x14ac:dyDescent="0.45">
      <c r="I99" t="s">
        <v>29</v>
      </c>
      <c r="J99" t="s">
        <v>110</v>
      </c>
    </row>
    <row r="100" spans="9:10" x14ac:dyDescent="0.45">
      <c r="I100" t="s">
        <v>31</v>
      </c>
      <c r="J100" t="s">
        <v>111</v>
      </c>
    </row>
    <row r="101" spans="9:10" x14ac:dyDescent="0.45">
      <c r="I101" t="s">
        <v>31</v>
      </c>
      <c r="J101" t="s">
        <v>110</v>
      </c>
    </row>
    <row r="102" spans="9:10" x14ac:dyDescent="0.45">
      <c r="I102" t="s">
        <v>31</v>
      </c>
      <c r="J102" t="s">
        <v>109</v>
      </c>
    </row>
    <row r="103" spans="9:10" x14ac:dyDescent="0.45">
      <c r="I103" t="s">
        <v>31</v>
      </c>
      <c r="J103" t="s">
        <v>6</v>
      </c>
    </row>
    <row r="104" spans="9:10" x14ac:dyDescent="0.45">
      <c r="I104" t="s">
        <v>32</v>
      </c>
      <c r="J104" t="s">
        <v>110</v>
      </c>
    </row>
    <row r="105" spans="9:10" x14ac:dyDescent="0.45">
      <c r="I105" t="s">
        <v>32</v>
      </c>
      <c r="J105" t="s">
        <v>111</v>
      </c>
    </row>
    <row r="106" spans="9:10" x14ac:dyDescent="0.45">
      <c r="I106" t="s">
        <v>32</v>
      </c>
      <c r="J106" t="s">
        <v>6</v>
      </c>
    </row>
    <row r="107" spans="9:10" x14ac:dyDescent="0.45">
      <c r="I107" t="s">
        <v>32</v>
      </c>
      <c r="J107" t="s">
        <v>109</v>
      </c>
    </row>
    <row r="108" spans="9:10" x14ac:dyDescent="0.45">
      <c r="I108" t="s">
        <v>33</v>
      </c>
      <c r="J108" t="s">
        <v>109</v>
      </c>
    </row>
    <row r="109" spans="9:10" x14ac:dyDescent="0.45">
      <c r="I109" t="s">
        <v>33</v>
      </c>
      <c r="J109" t="s">
        <v>6</v>
      </c>
    </row>
    <row r="110" spans="9:10" x14ac:dyDescent="0.45">
      <c r="I110" t="s">
        <v>33</v>
      </c>
      <c r="J110" t="s">
        <v>110</v>
      </c>
    </row>
    <row r="111" spans="9:10" x14ac:dyDescent="0.45">
      <c r="I111" t="s">
        <v>33</v>
      </c>
      <c r="J111" t="s">
        <v>111</v>
      </c>
    </row>
    <row r="112" spans="9:10" x14ac:dyDescent="0.45">
      <c r="I112" t="s">
        <v>34</v>
      </c>
      <c r="J112" t="s">
        <v>111</v>
      </c>
    </row>
    <row r="113" spans="9:10" x14ac:dyDescent="0.45">
      <c r="I113" t="s">
        <v>34</v>
      </c>
      <c r="J113" t="s">
        <v>6</v>
      </c>
    </row>
    <row r="114" spans="9:10" x14ac:dyDescent="0.45">
      <c r="I114" t="s">
        <v>34</v>
      </c>
      <c r="J114" t="s">
        <v>110</v>
      </c>
    </row>
    <row r="115" spans="9:10" x14ac:dyDescent="0.45">
      <c r="I115" t="s">
        <v>34</v>
      </c>
      <c r="J115" t="s">
        <v>109</v>
      </c>
    </row>
    <row r="116" spans="9:10" x14ac:dyDescent="0.45">
      <c r="I116" t="s">
        <v>35</v>
      </c>
      <c r="J116" t="s">
        <v>109</v>
      </c>
    </row>
    <row r="117" spans="9:10" x14ac:dyDescent="0.45">
      <c r="I117" t="s">
        <v>35</v>
      </c>
      <c r="J117" t="s">
        <v>110</v>
      </c>
    </row>
    <row r="118" spans="9:10" x14ac:dyDescent="0.45">
      <c r="I118" t="s">
        <v>35</v>
      </c>
      <c r="J118" t="s">
        <v>111</v>
      </c>
    </row>
    <row r="119" spans="9:10" x14ac:dyDescent="0.45">
      <c r="I119" t="s">
        <v>35</v>
      </c>
      <c r="J119" t="s">
        <v>6</v>
      </c>
    </row>
    <row r="120" spans="9:10" x14ac:dyDescent="0.45">
      <c r="I120" t="s">
        <v>36</v>
      </c>
      <c r="J120" t="s">
        <v>6</v>
      </c>
    </row>
    <row r="121" spans="9:10" x14ac:dyDescent="0.45">
      <c r="I121" t="s">
        <v>36</v>
      </c>
      <c r="J121" t="s">
        <v>110</v>
      </c>
    </row>
    <row r="122" spans="9:10" x14ac:dyDescent="0.45">
      <c r="I122" t="s">
        <v>36</v>
      </c>
      <c r="J122" t="s">
        <v>111</v>
      </c>
    </row>
    <row r="123" spans="9:10" x14ac:dyDescent="0.45">
      <c r="I123" t="s">
        <v>36</v>
      </c>
      <c r="J123" t="s">
        <v>109</v>
      </c>
    </row>
    <row r="124" spans="9:10" x14ac:dyDescent="0.45">
      <c r="I124" t="s">
        <v>37</v>
      </c>
      <c r="J124" t="s">
        <v>6</v>
      </c>
    </row>
    <row r="125" spans="9:10" x14ac:dyDescent="0.45">
      <c r="I125" t="s">
        <v>37</v>
      </c>
      <c r="J125" t="s">
        <v>110</v>
      </c>
    </row>
    <row r="126" spans="9:10" x14ac:dyDescent="0.45">
      <c r="I126" t="s">
        <v>37</v>
      </c>
      <c r="J126" t="s">
        <v>109</v>
      </c>
    </row>
    <row r="127" spans="9:10" x14ac:dyDescent="0.45">
      <c r="I127" t="s">
        <v>37</v>
      </c>
      <c r="J127" t="s">
        <v>111</v>
      </c>
    </row>
    <row r="128" spans="9:10" x14ac:dyDescent="0.45">
      <c r="I128" t="s">
        <v>38</v>
      </c>
      <c r="J128" t="s">
        <v>109</v>
      </c>
    </row>
    <row r="129" spans="9:10" x14ac:dyDescent="0.45">
      <c r="I129" t="s">
        <v>38</v>
      </c>
      <c r="J129" t="s">
        <v>6</v>
      </c>
    </row>
    <row r="130" spans="9:10" x14ac:dyDescent="0.45">
      <c r="I130" t="s">
        <v>38</v>
      </c>
      <c r="J130" t="s">
        <v>111</v>
      </c>
    </row>
    <row r="131" spans="9:10" x14ac:dyDescent="0.45">
      <c r="I131" t="s">
        <v>38</v>
      </c>
      <c r="J131" t="s">
        <v>110</v>
      </c>
    </row>
    <row r="132" spans="9:10" x14ac:dyDescent="0.45">
      <c r="I132" t="s">
        <v>39</v>
      </c>
      <c r="J132" t="s">
        <v>111</v>
      </c>
    </row>
    <row r="133" spans="9:10" x14ac:dyDescent="0.45">
      <c r="I133" t="s">
        <v>39</v>
      </c>
      <c r="J133" t="s">
        <v>6</v>
      </c>
    </row>
    <row r="134" spans="9:10" x14ac:dyDescent="0.45">
      <c r="I134" t="s">
        <v>39</v>
      </c>
      <c r="J134" t="s">
        <v>109</v>
      </c>
    </row>
    <row r="135" spans="9:10" x14ac:dyDescent="0.45">
      <c r="I135" t="s">
        <v>39</v>
      </c>
      <c r="J135" t="s">
        <v>110</v>
      </c>
    </row>
    <row r="136" spans="9:10" x14ac:dyDescent="0.45">
      <c r="I136" t="s">
        <v>40</v>
      </c>
      <c r="J136" t="s">
        <v>109</v>
      </c>
    </row>
    <row r="137" spans="9:10" x14ac:dyDescent="0.45">
      <c r="I137" t="s">
        <v>40</v>
      </c>
      <c r="J137" t="s">
        <v>111</v>
      </c>
    </row>
    <row r="138" spans="9:10" x14ac:dyDescent="0.45">
      <c r="I138" t="s">
        <v>40</v>
      </c>
      <c r="J138" t="s">
        <v>6</v>
      </c>
    </row>
    <row r="139" spans="9:10" x14ac:dyDescent="0.45">
      <c r="I139" t="s">
        <v>40</v>
      </c>
      <c r="J139" t="s">
        <v>110</v>
      </c>
    </row>
    <row r="140" spans="9:10" x14ac:dyDescent="0.45">
      <c r="I140" t="s">
        <v>41</v>
      </c>
      <c r="J140" t="s">
        <v>111</v>
      </c>
    </row>
    <row r="141" spans="9:10" x14ac:dyDescent="0.45">
      <c r="I141" t="s">
        <v>41</v>
      </c>
      <c r="J141" t="s">
        <v>6</v>
      </c>
    </row>
    <row r="142" spans="9:10" x14ac:dyDescent="0.45">
      <c r="I142" t="s">
        <v>41</v>
      </c>
      <c r="J142" t="s">
        <v>109</v>
      </c>
    </row>
    <row r="143" spans="9:10" x14ac:dyDescent="0.45">
      <c r="I143" t="s">
        <v>41</v>
      </c>
      <c r="J143" t="s">
        <v>110</v>
      </c>
    </row>
    <row r="144" spans="9:10" x14ac:dyDescent="0.45">
      <c r="I144" t="s">
        <v>42</v>
      </c>
      <c r="J144" t="s">
        <v>6</v>
      </c>
    </row>
    <row r="145" spans="9:10" x14ac:dyDescent="0.45">
      <c r="I145" t="s">
        <v>42</v>
      </c>
      <c r="J145" t="s">
        <v>110</v>
      </c>
    </row>
    <row r="146" spans="9:10" x14ac:dyDescent="0.45">
      <c r="I146" t="s">
        <v>42</v>
      </c>
      <c r="J146" t="s">
        <v>109</v>
      </c>
    </row>
    <row r="147" spans="9:10" x14ac:dyDescent="0.45">
      <c r="I147" t="s">
        <v>42</v>
      </c>
      <c r="J147" t="s">
        <v>111</v>
      </c>
    </row>
    <row r="148" spans="9:10" x14ac:dyDescent="0.45">
      <c r="I148" t="s">
        <v>43</v>
      </c>
      <c r="J148" t="s">
        <v>110</v>
      </c>
    </row>
    <row r="149" spans="9:10" x14ac:dyDescent="0.45">
      <c r="I149" t="s">
        <v>43</v>
      </c>
      <c r="J149" t="s">
        <v>6</v>
      </c>
    </row>
    <row r="150" spans="9:10" x14ac:dyDescent="0.45">
      <c r="I150" t="s">
        <v>43</v>
      </c>
      <c r="J150" t="s">
        <v>111</v>
      </c>
    </row>
    <row r="151" spans="9:10" x14ac:dyDescent="0.45">
      <c r="I151" t="s">
        <v>43</v>
      </c>
      <c r="J151" t="s">
        <v>109</v>
      </c>
    </row>
    <row r="152" spans="9:10" x14ac:dyDescent="0.45">
      <c r="I152" t="s">
        <v>46</v>
      </c>
      <c r="J152" t="s">
        <v>111</v>
      </c>
    </row>
    <row r="153" spans="9:10" x14ac:dyDescent="0.45">
      <c r="I153" t="s">
        <v>46</v>
      </c>
      <c r="J153" t="s">
        <v>109</v>
      </c>
    </row>
    <row r="154" spans="9:10" x14ac:dyDescent="0.45">
      <c r="I154" t="s">
        <v>46</v>
      </c>
      <c r="J154" t="s">
        <v>6</v>
      </c>
    </row>
    <row r="155" spans="9:10" x14ac:dyDescent="0.45">
      <c r="I155" t="s">
        <v>46</v>
      </c>
      <c r="J155" t="s">
        <v>110</v>
      </c>
    </row>
    <row r="156" spans="9:10" x14ac:dyDescent="0.45">
      <c r="I156" t="s">
        <v>47</v>
      </c>
      <c r="J156" t="s">
        <v>6</v>
      </c>
    </row>
    <row r="157" spans="9:10" x14ac:dyDescent="0.45">
      <c r="I157" t="s">
        <v>47</v>
      </c>
      <c r="J157" t="s">
        <v>109</v>
      </c>
    </row>
    <row r="158" spans="9:10" x14ac:dyDescent="0.45">
      <c r="I158" t="s">
        <v>47</v>
      </c>
      <c r="J158" t="s">
        <v>111</v>
      </c>
    </row>
    <row r="159" spans="9:10" x14ac:dyDescent="0.45">
      <c r="I159" t="s">
        <v>47</v>
      </c>
      <c r="J159" t="s">
        <v>110</v>
      </c>
    </row>
    <row r="160" spans="9:10" x14ac:dyDescent="0.45">
      <c r="I160" t="s">
        <v>48</v>
      </c>
      <c r="J160" t="s">
        <v>111</v>
      </c>
    </row>
    <row r="161" spans="9:10" x14ac:dyDescent="0.45">
      <c r="I161" t="s">
        <v>48</v>
      </c>
      <c r="J161" t="s">
        <v>110</v>
      </c>
    </row>
    <row r="162" spans="9:10" x14ac:dyDescent="0.45">
      <c r="I162" t="s">
        <v>48</v>
      </c>
      <c r="J162" t="s">
        <v>6</v>
      </c>
    </row>
    <row r="163" spans="9:10" x14ac:dyDescent="0.45">
      <c r="I163" t="s">
        <v>48</v>
      </c>
      <c r="J163" t="s">
        <v>109</v>
      </c>
    </row>
    <row r="164" spans="9:10" x14ac:dyDescent="0.45">
      <c r="I164" t="s">
        <v>49</v>
      </c>
      <c r="J164" t="s">
        <v>111</v>
      </c>
    </row>
    <row r="165" spans="9:10" x14ac:dyDescent="0.45">
      <c r="I165" t="s">
        <v>49</v>
      </c>
      <c r="J165" t="s">
        <v>109</v>
      </c>
    </row>
    <row r="166" spans="9:10" x14ac:dyDescent="0.45">
      <c r="I166" t="s">
        <v>49</v>
      </c>
      <c r="J166" t="s">
        <v>6</v>
      </c>
    </row>
    <row r="167" spans="9:10" x14ac:dyDescent="0.45">
      <c r="I167" t="s">
        <v>49</v>
      </c>
      <c r="J167" t="s">
        <v>110</v>
      </c>
    </row>
    <row r="168" spans="9:10" x14ac:dyDescent="0.45">
      <c r="I168" t="s">
        <v>50</v>
      </c>
      <c r="J168" t="s">
        <v>111</v>
      </c>
    </row>
    <row r="169" spans="9:10" x14ac:dyDescent="0.45">
      <c r="I169" t="s">
        <v>50</v>
      </c>
      <c r="J169" t="s">
        <v>109</v>
      </c>
    </row>
    <row r="170" spans="9:10" x14ac:dyDescent="0.45">
      <c r="I170" t="s">
        <v>50</v>
      </c>
      <c r="J170" t="s">
        <v>110</v>
      </c>
    </row>
    <row r="171" spans="9:10" x14ac:dyDescent="0.45">
      <c r="I171" t="s">
        <v>50</v>
      </c>
      <c r="J171" t="s">
        <v>6</v>
      </c>
    </row>
    <row r="172" spans="9:10" x14ac:dyDescent="0.45">
      <c r="I172" t="s">
        <v>51</v>
      </c>
      <c r="J172" t="s">
        <v>109</v>
      </c>
    </row>
    <row r="173" spans="9:10" x14ac:dyDescent="0.45">
      <c r="I173" t="s">
        <v>51</v>
      </c>
      <c r="J173" t="s">
        <v>110</v>
      </c>
    </row>
    <row r="174" spans="9:10" x14ac:dyDescent="0.45">
      <c r="I174" t="s">
        <v>51</v>
      </c>
      <c r="J174" t="s">
        <v>111</v>
      </c>
    </row>
    <row r="175" spans="9:10" x14ac:dyDescent="0.45">
      <c r="I175" t="s">
        <v>51</v>
      </c>
      <c r="J175" t="s">
        <v>6</v>
      </c>
    </row>
    <row r="176" spans="9:10" x14ac:dyDescent="0.45">
      <c r="I176" t="s">
        <v>52</v>
      </c>
      <c r="J176" t="s">
        <v>111</v>
      </c>
    </row>
    <row r="177" spans="9:10" x14ac:dyDescent="0.45">
      <c r="I177" t="s">
        <v>52</v>
      </c>
      <c r="J177" t="s">
        <v>110</v>
      </c>
    </row>
    <row r="178" spans="9:10" x14ac:dyDescent="0.45">
      <c r="I178" t="s">
        <v>52</v>
      </c>
      <c r="J178" t="s">
        <v>6</v>
      </c>
    </row>
    <row r="179" spans="9:10" x14ac:dyDescent="0.45">
      <c r="I179" t="s">
        <v>52</v>
      </c>
      <c r="J179" t="s">
        <v>109</v>
      </c>
    </row>
    <row r="180" spans="9:10" x14ac:dyDescent="0.45">
      <c r="I180" t="s">
        <v>45</v>
      </c>
      <c r="J180" t="s">
        <v>6</v>
      </c>
    </row>
    <row r="181" spans="9:10" x14ac:dyDescent="0.45">
      <c r="I181" t="s">
        <v>45</v>
      </c>
      <c r="J181" t="s">
        <v>110</v>
      </c>
    </row>
    <row r="182" spans="9:10" x14ac:dyDescent="0.45">
      <c r="I182" t="s">
        <v>45</v>
      </c>
      <c r="J182" t="s">
        <v>109</v>
      </c>
    </row>
    <row r="183" spans="9:10" x14ac:dyDescent="0.45">
      <c r="I183" t="s">
        <v>45</v>
      </c>
      <c r="J183" t="s">
        <v>111</v>
      </c>
    </row>
    <row r="184" spans="9:10" x14ac:dyDescent="0.45">
      <c r="I184" t="s">
        <v>161</v>
      </c>
      <c r="J184" t="s">
        <v>109</v>
      </c>
    </row>
    <row r="185" spans="9:10" x14ac:dyDescent="0.45">
      <c r="I185" t="s">
        <v>161</v>
      </c>
      <c r="J185" t="s">
        <v>111</v>
      </c>
    </row>
    <row r="186" spans="9:10" x14ac:dyDescent="0.45">
      <c r="I186" t="s">
        <v>161</v>
      </c>
      <c r="J186" t="s">
        <v>6</v>
      </c>
    </row>
    <row r="187" spans="9:10" x14ac:dyDescent="0.45">
      <c r="I187" t="s">
        <v>161</v>
      </c>
      <c r="J187" t="s">
        <v>110</v>
      </c>
    </row>
    <row r="188" spans="9:10" x14ac:dyDescent="0.45">
      <c r="I188" t="s">
        <v>53</v>
      </c>
      <c r="J188" t="s">
        <v>6</v>
      </c>
    </row>
    <row r="189" spans="9:10" x14ac:dyDescent="0.45">
      <c r="I189" t="s">
        <v>53</v>
      </c>
      <c r="J189" t="s">
        <v>111</v>
      </c>
    </row>
    <row r="190" spans="9:10" x14ac:dyDescent="0.45">
      <c r="I190" t="s">
        <v>53</v>
      </c>
      <c r="J190" t="s">
        <v>109</v>
      </c>
    </row>
    <row r="191" spans="9:10" x14ac:dyDescent="0.45">
      <c r="I191" t="s">
        <v>53</v>
      </c>
      <c r="J191" t="s">
        <v>110</v>
      </c>
    </row>
    <row r="192" spans="9:10" x14ac:dyDescent="0.45">
      <c r="I192" t="s">
        <v>54</v>
      </c>
      <c r="J192" t="s">
        <v>6</v>
      </c>
    </row>
    <row r="193" spans="9:10" x14ac:dyDescent="0.45">
      <c r="I193" t="s">
        <v>54</v>
      </c>
      <c r="J193" t="s">
        <v>109</v>
      </c>
    </row>
    <row r="194" spans="9:10" x14ac:dyDescent="0.45">
      <c r="I194" t="s">
        <v>54</v>
      </c>
      <c r="J194" t="s">
        <v>110</v>
      </c>
    </row>
    <row r="195" spans="9:10" x14ac:dyDescent="0.45">
      <c r="I195" t="s">
        <v>54</v>
      </c>
      <c r="J195" t="s">
        <v>111</v>
      </c>
    </row>
    <row r="196" spans="9:10" x14ac:dyDescent="0.45">
      <c r="I196" t="s">
        <v>55</v>
      </c>
      <c r="J196" t="s">
        <v>110</v>
      </c>
    </row>
    <row r="197" spans="9:10" x14ac:dyDescent="0.45">
      <c r="I197" t="s">
        <v>55</v>
      </c>
      <c r="J197" t="s">
        <v>6</v>
      </c>
    </row>
    <row r="198" spans="9:10" x14ac:dyDescent="0.45">
      <c r="I198" t="s">
        <v>55</v>
      </c>
      <c r="J198" t="s">
        <v>109</v>
      </c>
    </row>
    <row r="199" spans="9:10" x14ac:dyDescent="0.45">
      <c r="I199" t="s">
        <v>55</v>
      </c>
      <c r="J199" t="s">
        <v>111</v>
      </c>
    </row>
    <row r="200" spans="9:10" x14ac:dyDescent="0.45">
      <c r="I200" t="s">
        <v>56</v>
      </c>
      <c r="J200" t="s">
        <v>6</v>
      </c>
    </row>
    <row r="201" spans="9:10" x14ac:dyDescent="0.45">
      <c r="I201" t="s">
        <v>56</v>
      </c>
      <c r="J201" t="s">
        <v>110</v>
      </c>
    </row>
    <row r="202" spans="9:10" x14ac:dyDescent="0.45">
      <c r="I202" t="s">
        <v>56</v>
      </c>
      <c r="J202" t="s">
        <v>109</v>
      </c>
    </row>
    <row r="203" spans="9:10" x14ac:dyDescent="0.45">
      <c r="I203" t="s">
        <v>56</v>
      </c>
      <c r="J203" t="s">
        <v>111</v>
      </c>
    </row>
    <row r="204" spans="9:10" x14ac:dyDescent="0.45">
      <c r="I204" t="s">
        <v>57</v>
      </c>
      <c r="J204" t="s">
        <v>6</v>
      </c>
    </row>
    <row r="205" spans="9:10" x14ac:dyDescent="0.45">
      <c r="I205" t="s">
        <v>57</v>
      </c>
      <c r="J205" t="s">
        <v>111</v>
      </c>
    </row>
    <row r="206" spans="9:10" x14ac:dyDescent="0.45">
      <c r="I206" t="s">
        <v>57</v>
      </c>
      <c r="J206" t="s">
        <v>109</v>
      </c>
    </row>
    <row r="207" spans="9:10" x14ac:dyDescent="0.45">
      <c r="I207" t="s">
        <v>57</v>
      </c>
      <c r="J207" t="s">
        <v>110</v>
      </c>
    </row>
    <row r="208" spans="9:10" x14ac:dyDescent="0.45">
      <c r="I208" t="s">
        <v>58</v>
      </c>
      <c r="J208" t="s">
        <v>110</v>
      </c>
    </row>
    <row r="209" spans="9:10" x14ac:dyDescent="0.45">
      <c r="I209" t="s">
        <v>58</v>
      </c>
      <c r="J209" t="s">
        <v>111</v>
      </c>
    </row>
    <row r="210" spans="9:10" x14ac:dyDescent="0.45">
      <c r="I210" t="s">
        <v>58</v>
      </c>
      <c r="J210" t="s">
        <v>109</v>
      </c>
    </row>
    <row r="211" spans="9:10" x14ac:dyDescent="0.45">
      <c r="I211" t="s">
        <v>58</v>
      </c>
      <c r="J211" t="s">
        <v>6</v>
      </c>
    </row>
    <row r="212" spans="9:10" x14ac:dyDescent="0.45">
      <c r="I212" t="s">
        <v>59</v>
      </c>
      <c r="J212" t="s">
        <v>109</v>
      </c>
    </row>
    <row r="213" spans="9:10" x14ac:dyDescent="0.45">
      <c r="I213" t="s">
        <v>59</v>
      </c>
      <c r="J213" t="s">
        <v>6</v>
      </c>
    </row>
    <row r="214" spans="9:10" x14ac:dyDescent="0.45">
      <c r="I214" t="s">
        <v>59</v>
      </c>
      <c r="J214" t="s">
        <v>110</v>
      </c>
    </row>
    <row r="215" spans="9:10" x14ac:dyDescent="0.45">
      <c r="I215" t="s">
        <v>59</v>
      </c>
      <c r="J215" t="s">
        <v>111</v>
      </c>
    </row>
    <row r="216" spans="9:10" x14ac:dyDescent="0.45">
      <c r="I216" t="s">
        <v>60</v>
      </c>
      <c r="J216" t="s">
        <v>110</v>
      </c>
    </row>
    <row r="217" spans="9:10" x14ac:dyDescent="0.45">
      <c r="I217" t="s">
        <v>60</v>
      </c>
      <c r="J217" t="s">
        <v>111</v>
      </c>
    </row>
    <row r="218" spans="9:10" x14ac:dyDescent="0.45">
      <c r="I218" t="s">
        <v>60</v>
      </c>
      <c r="J218" t="s">
        <v>109</v>
      </c>
    </row>
    <row r="219" spans="9:10" x14ac:dyDescent="0.45">
      <c r="I219" t="s">
        <v>60</v>
      </c>
      <c r="J219" t="s">
        <v>6</v>
      </c>
    </row>
    <row r="220" spans="9:10" x14ac:dyDescent="0.45">
      <c r="I220" t="s">
        <v>61</v>
      </c>
      <c r="J220" t="s">
        <v>110</v>
      </c>
    </row>
    <row r="221" spans="9:10" x14ac:dyDescent="0.45">
      <c r="I221" t="s">
        <v>61</v>
      </c>
      <c r="J221" t="s">
        <v>6</v>
      </c>
    </row>
    <row r="222" spans="9:10" x14ac:dyDescent="0.45">
      <c r="I222" t="s">
        <v>61</v>
      </c>
      <c r="J222" t="s">
        <v>111</v>
      </c>
    </row>
    <row r="223" spans="9:10" x14ac:dyDescent="0.45">
      <c r="I223" t="s">
        <v>61</v>
      </c>
      <c r="J223" t="s">
        <v>109</v>
      </c>
    </row>
    <row r="224" spans="9:10" x14ac:dyDescent="0.45">
      <c r="I224" t="s">
        <v>62</v>
      </c>
      <c r="J224" t="s">
        <v>110</v>
      </c>
    </row>
    <row r="225" spans="9:10" x14ac:dyDescent="0.45">
      <c r="I225" t="s">
        <v>62</v>
      </c>
      <c r="J225" t="s">
        <v>6</v>
      </c>
    </row>
    <row r="226" spans="9:10" x14ac:dyDescent="0.45">
      <c r="I226" t="s">
        <v>62</v>
      </c>
      <c r="J226" t="s">
        <v>111</v>
      </c>
    </row>
    <row r="227" spans="9:10" x14ac:dyDescent="0.45">
      <c r="I227" t="s">
        <v>62</v>
      </c>
      <c r="J227" t="s">
        <v>109</v>
      </c>
    </row>
    <row r="228" spans="9:10" x14ac:dyDescent="0.45">
      <c r="I228" t="s">
        <v>63</v>
      </c>
      <c r="J228" t="s">
        <v>111</v>
      </c>
    </row>
    <row r="229" spans="9:10" x14ac:dyDescent="0.45">
      <c r="I229" t="s">
        <v>63</v>
      </c>
      <c r="J229" t="s">
        <v>110</v>
      </c>
    </row>
    <row r="230" spans="9:10" x14ac:dyDescent="0.45">
      <c r="I230" t="s">
        <v>63</v>
      </c>
      <c r="J230" t="s">
        <v>109</v>
      </c>
    </row>
    <row r="231" spans="9:10" x14ac:dyDescent="0.45">
      <c r="I231" t="s">
        <v>63</v>
      </c>
      <c r="J231" t="s">
        <v>6</v>
      </c>
    </row>
    <row r="232" spans="9:10" x14ac:dyDescent="0.45">
      <c r="I232" t="s">
        <v>64</v>
      </c>
      <c r="J232" t="s">
        <v>110</v>
      </c>
    </row>
    <row r="233" spans="9:10" x14ac:dyDescent="0.45">
      <c r="I233" t="s">
        <v>64</v>
      </c>
      <c r="J233" t="s">
        <v>109</v>
      </c>
    </row>
    <row r="234" spans="9:10" x14ac:dyDescent="0.45">
      <c r="I234" t="s">
        <v>64</v>
      </c>
      <c r="J234" t="s">
        <v>111</v>
      </c>
    </row>
    <row r="235" spans="9:10" x14ac:dyDescent="0.45">
      <c r="I235" t="s">
        <v>64</v>
      </c>
      <c r="J235" t="s">
        <v>6</v>
      </c>
    </row>
    <row r="236" spans="9:10" x14ac:dyDescent="0.45">
      <c r="I236" t="s">
        <v>65</v>
      </c>
      <c r="J236" t="s">
        <v>111</v>
      </c>
    </row>
    <row r="237" spans="9:10" x14ac:dyDescent="0.45">
      <c r="I237" t="s">
        <v>65</v>
      </c>
      <c r="J237" t="s">
        <v>109</v>
      </c>
    </row>
    <row r="238" spans="9:10" x14ac:dyDescent="0.45">
      <c r="I238" t="s">
        <v>65</v>
      </c>
      <c r="J238" t="s">
        <v>110</v>
      </c>
    </row>
    <row r="239" spans="9:10" x14ac:dyDescent="0.45">
      <c r="I239" t="s">
        <v>65</v>
      </c>
      <c r="J239" t="s">
        <v>6</v>
      </c>
    </row>
    <row r="240" spans="9:10" x14ac:dyDescent="0.45">
      <c r="I240" t="s">
        <v>66</v>
      </c>
      <c r="J240" t="s">
        <v>110</v>
      </c>
    </row>
    <row r="241" spans="9:10" x14ac:dyDescent="0.45">
      <c r="I241" t="s">
        <v>66</v>
      </c>
      <c r="J241" t="s">
        <v>109</v>
      </c>
    </row>
    <row r="242" spans="9:10" x14ac:dyDescent="0.45">
      <c r="I242" t="s">
        <v>66</v>
      </c>
      <c r="J242" t="s">
        <v>111</v>
      </c>
    </row>
    <row r="243" spans="9:10" x14ac:dyDescent="0.45">
      <c r="I243" t="s">
        <v>66</v>
      </c>
      <c r="J243" t="s">
        <v>6</v>
      </c>
    </row>
    <row r="244" spans="9:10" x14ac:dyDescent="0.45">
      <c r="I244" t="s">
        <v>67</v>
      </c>
      <c r="J244" t="s">
        <v>110</v>
      </c>
    </row>
    <row r="245" spans="9:10" x14ac:dyDescent="0.45">
      <c r="I245" t="s">
        <v>67</v>
      </c>
      <c r="J245" t="s">
        <v>6</v>
      </c>
    </row>
    <row r="246" spans="9:10" x14ac:dyDescent="0.45">
      <c r="I246" t="s">
        <v>67</v>
      </c>
      <c r="J246" t="s">
        <v>111</v>
      </c>
    </row>
    <row r="247" spans="9:10" x14ac:dyDescent="0.45">
      <c r="I247" t="s">
        <v>67</v>
      </c>
      <c r="J247" t="s">
        <v>109</v>
      </c>
    </row>
    <row r="248" spans="9:10" x14ac:dyDescent="0.45">
      <c r="I248" t="s">
        <v>68</v>
      </c>
      <c r="J248" t="s">
        <v>110</v>
      </c>
    </row>
    <row r="249" spans="9:10" x14ac:dyDescent="0.45">
      <c r="I249" t="s">
        <v>68</v>
      </c>
      <c r="J249" t="s">
        <v>111</v>
      </c>
    </row>
    <row r="250" spans="9:10" x14ac:dyDescent="0.45">
      <c r="I250" t="s">
        <v>68</v>
      </c>
      <c r="J250" t="s">
        <v>109</v>
      </c>
    </row>
    <row r="251" spans="9:10" x14ac:dyDescent="0.45">
      <c r="I251" t="s">
        <v>68</v>
      </c>
      <c r="J251" t="s">
        <v>6</v>
      </c>
    </row>
    <row r="252" spans="9:10" x14ac:dyDescent="0.45">
      <c r="I252" t="s">
        <v>69</v>
      </c>
      <c r="J252" t="s">
        <v>111</v>
      </c>
    </row>
    <row r="253" spans="9:10" x14ac:dyDescent="0.45">
      <c r="I253" t="s">
        <v>69</v>
      </c>
      <c r="J253" t="s">
        <v>110</v>
      </c>
    </row>
    <row r="254" spans="9:10" x14ac:dyDescent="0.45">
      <c r="I254" t="s">
        <v>69</v>
      </c>
      <c r="J254" t="s">
        <v>109</v>
      </c>
    </row>
    <row r="255" spans="9:10" x14ac:dyDescent="0.45">
      <c r="I255" t="s">
        <v>69</v>
      </c>
      <c r="J255" t="s">
        <v>6</v>
      </c>
    </row>
    <row r="256" spans="9:10" x14ac:dyDescent="0.45">
      <c r="I256" t="s">
        <v>70</v>
      </c>
      <c r="J256" t="s">
        <v>109</v>
      </c>
    </row>
    <row r="257" spans="9:10" x14ac:dyDescent="0.45">
      <c r="I257" t="s">
        <v>70</v>
      </c>
      <c r="J257" t="s">
        <v>6</v>
      </c>
    </row>
    <row r="258" spans="9:10" x14ac:dyDescent="0.45">
      <c r="I258" t="s">
        <v>70</v>
      </c>
      <c r="J258" t="s">
        <v>110</v>
      </c>
    </row>
    <row r="259" spans="9:10" x14ac:dyDescent="0.45">
      <c r="I259" t="s">
        <v>70</v>
      </c>
      <c r="J259" t="s">
        <v>111</v>
      </c>
    </row>
    <row r="260" spans="9:10" x14ac:dyDescent="0.45">
      <c r="I260" t="s">
        <v>71</v>
      </c>
      <c r="J260" t="s">
        <v>110</v>
      </c>
    </row>
    <row r="261" spans="9:10" x14ac:dyDescent="0.45">
      <c r="I261" t="s">
        <v>71</v>
      </c>
      <c r="J261" t="s">
        <v>111</v>
      </c>
    </row>
    <row r="262" spans="9:10" x14ac:dyDescent="0.45">
      <c r="I262" t="s">
        <v>71</v>
      </c>
      <c r="J262" t="s">
        <v>109</v>
      </c>
    </row>
    <row r="263" spans="9:10" x14ac:dyDescent="0.45">
      <c r="I263" t="s">
        <v>71</v>
      </c>
      <c r="J263" t="s">
        <v>6</v>
      </c>
    </row>
    <row r="264" spans="9:10" x14ac:dyDescent="0.45">
      <c r="I264" t="s">
        <v>72</v>
      </c>
      <c r="J264" t="s">
        <v>6</v>
      </c>
    </row>
    <row r="265" spans="9:10" x14ac:dyDescent="0.45">
      <c r="I265" t="s">
        <v>72</v>
      </c>
      <c r="J265" t="s">
        <v>110</v>
      </c>
    </row>
    <row r="266" spans="9:10" x14ac:dyDescent="0.45">
      <c r="I266" t="s">
        <v>72</v>
      </c>
      <c r="J266" t="s">
        <v>111</v>
      </c>
    </row>
    <row r="267" spans="9:10" x14ac:dyDescent="0.45">
      <c r="I267" t="s">
        <v>72</v>
      </c>
      <c r="J267" t="s">
        <v>109</v>
      </c>
    </row>
    <row r="268" spans="9:10" x14ac:dyDescent="0.45">
      <c r="I268" t="s">
        <v>73</v>
      </c>
      <c r="J268" t="s">
        <v>109</v>
      </c>
    </row>
    <row r="269" spans="9:10" x14ac:dyDescent="0.45">
      <c r="I269" t="s">
        <v>73</v>
      </c>
      <c r="J269" t="s">
        <v>111</v>
      </c>
    </row>
    <row r="270" spans="9:10" x14ac:dyDescent="0.45">
      <c r="I270" t="s">
        <v>73</v>
      </c>
      <c r="J270" t="s">
        <v>6</v>
      </c>
    </row>
    <row r="271" spans="9:10" x14ac:dyDescent="0.45">
      <c r="I271" t="s">
        <v>73</v>
      </c>
      <c r="J271" t="s">
        <v>110</v>
      </c>
    </row>
    <row r="272" spans="9:10" x14ac:dyDescent="0.45">
      <c r="I272" t="s">
        <v>74</v>
      </c>
      <c r="J272" t="s">
        <v>109</v>
      </c>
    </row>
    <row r="273" spans="9:10" x14ac:dyDescent="0.45">
      <c r="I273" t="s">
        <v>74</v>
      </c>
      <c r="J273" t="s">
        <v>6</v>
      </c>
    </row>
    <row r="274" spans="9:10" x14ac:dyDescent="0.45">
      <c r="I274" t="s">
        <v>74</v>
      </c>
      <c r="J274" t="s">
        <v>111</v>
      </c>
    </row>
    <row r="275" spans="9:10" x14ac:dyDescent="0.45">
      <c r="I275" t="s">
        <v>74</v>
      </c>
      <c r="J275" t="s">
        <v>110</v>
      </c>
    </row>
    <row r="276" spans="9:10" x14ac:dyDescent="0.45">
      <c r="I276" t="s">
        <v>75</v>
      </c>
      <c r="J276" t="s">
        <v>111</v>
      </c>
    </row>
    <row r="277" spans="9:10" x14ac:dyDescent="0.45">
      <c r="I277" t="s">
        <v>75</v>
      </c>
      <c r="J277" t="s">
        <v>109</v>
      </c>
    </row>
    <row r="278" spans="9:10" x14ac:dyDescent="0.45">
      <c r="I278" t="s">
        <v>75</v>
      </c>
      <c r="J278" t="s">
        <v>6</v>
      </c>
    </row>
    <row r="279" spans="9:10" x14ac:dyDescent="0.45">
      <c r="I279" t="s">
        <v>75</v>
      </c>
      <c r="J279" t="s">
        <v>110</v>
      </c>
    </row>
    <row r="280" spans="9:10" x14ac:dyDescent="0.45">
      <c r="I280" t="s">
        <v>76</v>
      </c>
      <c r="J280" t="s">
        <v>109</v>
      </c>
    </row>
    <row r="281" spans="9:10" x14ac:dyDescent="0.45">
      <c r="I281" t="s">
        <v>76</v>
      </c>
      <c r="J281" t="s">
        <v>111</v>
      </c>
    </row>
    <row r="282" spans="9:10" x14ac:dyDescent="0.45">
      <c r="I282" t="s">
        <v>76</v>
      </c>
      <c r="J282" t="s">
        <v>110</v>
      </c>
    </row>
    <row r="283" spans="9:10" x14ac:dyDescent="0.45">
      <c r="I283" t="s">
        <v>76</v>
      </c>
      <c r="J283" t="s">
        <v>6</v>
      </c>
    </row>
    <row r="284" spans="9:10" x14ac:dyDescent="0.45">
      <c r="I284" t="s">
        <v>77</v>
      </c>
      <c r="J284" t="s">
        <v>111</v>
      </c>
    </row>
    <row r="285" spans="9:10" x14ac:dyDescent="0.45">
      <c r="I285" t="s">
        <v>77</v>
      </c>
      <c r="J285" t="s">
        <v>6</v>
      </c>
    </row>
    <row r="286" spans="9:10" x14ac:dyDescent="0.45">
      <c r="I286" t="s">
        <v>77</v>
      </c>
      <c r="J286" t="s">
        <v>110</v>
      </c>
    </row>
    <row r="287" spans="9:10" x14ac:dyDescent="0.45">
      <c r="I287" t="s">
        <v>77</v>
      </c>
      <c r="J287" t="s">
        <v>109</v>
      </c>
    </row>
    <row r="288" spans="9:10" x14ac:dyDescent="0.45">
      <c r="I288" t="s">
        <v>78</v>
      </c>
      <c r="J288" t="s">
        <v>110</v>
      </c>
    </row>
    <row r="289" spans="9:10" x14ac:dyDescent="0.45">
      <c r="I289" t="s">
        <v>78</v>
      </c>
      <c r="J289" t="s">
        <v>109</v>
      </c>
    </row>
    <row r="290" spans="9:10" x14ac:dyDescent="0.45">
      <c r="I290" t="s">
        <v>78</v>
      </c>
      <c r="J290" t="s">
        <v>6</v>
      </c>
    </row>
    <row r="291" spans="9:10" x14ac:dyDescent="0.45">
      <c r="I291" t="s">
        <v>78</v>
      </c>
      <c r="J291" t="s">
        <v>111</v>
      </c>
    </row>
    <row r="292" spans="9:10" x14ac:dyDescent="0.45">
      <c r="I292" t="s">
        <v>79</v>
      </c>
      <c r="J292" t="s">
        <v>111</v>
      </c>
    </row>
    <row r="293" spans="9:10" x14ac:dyDescent="0.45">
      <c r="I293" t="s">
        <v>79</v>
      </c>
      <c r="J293" t="s">
        <v>109</v>
      </c>
    </row>
    <row r="294" spans="9:10" x14ac:dyDescent="0.45">
      <c r="I294" t="s">
        <v>79</v>
      </c>
      <c r="J294" t="s">
        <v>6</v>
      </c>
    </row>
    <row r="295" spans="9:10" x14ac:dyDescent="0.45">
      <c r="I295" t="s">
        <v>79</v>
      </c>
      <c r="J295" t="s">
        <v>110</v>
      </c>
    </row>
    <row r="296" spans="9:10" x14ac:dyDescent="0.45">
      <c r="I296" t="s">
        <v>80</v>
      </c>
      <c r="J296" t="s">
        <v>110</v>
      </c>
    </row>
    <row r="297" spans="9:10" x14ac:dyDescent="0.45">
      <c r="I297" t="s">
        <v>80</v>
      </c>
      <c r="J297" t="s">
        <v>109</v>
      </c>
    </row>
    <row r="298" spans="9:10" x14ac:dyDescent="0.45">
      <c r="I298" t="s">
        <v>80</v>
      </c>
      <c r="J298" t="s">
        <v>6</v>
      </c>
    </row>
    <row r="299" spans="9:10" x14ac:dyDescent="0.45">
      <c r="I299" t="s">
        <v>80</v>
      </c>
      <c r="J299" t="s">
        <v>111</v>
      </c>
    </row>
    <row r="300" spans="9:10" x14ac:dyDescent="0.45">
      <c r="I300" t="s">
        <v>160</v>
      </c>
      <c r="J300" t="s">
        <v>110</v>
      </c>
    </row>
    <row r="301" spans="9:10" x14ac:dyDescent="0.45">
      <c r="I301" t="s">
        <v>160</v>
      </c>
      <c r="J301" t="s">
        <v>6</v>
      </c>
    </row>
    <row r="302" spans="9:10" x14ac:dyDescent="0.45">
      <c r="I302" t="s">
        <v>160</v>
      </c>
      <c r="J302" t="s">
        <v>109</v>
      </c>
    </row>
    <row r="303" spans="9:10" x14ac:dyDescent="0.45">
      <c r="I303" t="s">
        <v>160</v>
      </c>
      <c r="J303" t="s">
        <v>111</v>
      </c>
    </row>
    <row r="304" spans="9:10" x14ac:dyDescent="0.45">
      <c r="I304" t="s">
        <v>81</v>
      </c>
      <c r="J304" t="s">
        <v>110</v>
      </c>
    </row>
    <row r="305" spans="9:10" x14ac:dyDescent="0.45">
      <c r="I305" t="s">
        <v>81</v>
      </c>
      <c r="J305" t="s">
        <v>6</v>
      </c>
    </row>
    <row r="306" spans="9:10" x14ac:dyDescent="0.45">
      <c r="I306" t="s">
        <v>81</v>
      </c>
      <c r="J306" t="s">
        <v>109</v>
      </c>
    </row>
    <row r="307" spans="9:10" x14ac:dyDescent="0.45">
      <c r="I307" t="s">
        <v>81</v>
      </c>
      <c r="J307" t="s">
        <v>111</v>
      </c>
    </row>
    <row r="308" spans="9:10" x14ac:dyDescent="0.45">
      <c r="I308" t="s">
        <v>82</v>
      </c>
      <c r="J308" t="s">
        <v>111</v>
      </c>
    </row>
    <row r="309" spans="9:10" x14ac:dyDescent="0.45">
      <c r="I309" t="s">
        <v>82</v>
      </c>
      <c r="J309" t="s">
        <v>110</v>
      </c>
    </row>
    <row r="310" spans="9:10" x14ac:dyDescent="0.45">
      <c r="I310" t="s">
        <v>82</v>
      </c>
      <c r="J310" t="s">
        <v>109</v>
      </c>
    </row>
    <row r="311" spans="9:10" x14ac:dyDescent="0.45">
      <c r="I311" t="s">
        <v>82</v>
      </c>
      <c r="J311" t="s">
        <v>6</v>
      </c>
    </row>
    <row r="312" spans="9:10" x14ac:dyDescent="0.45">
      <c r="I312" t="s">
        <v>83</v>
      </c>
      <c r="J312" t="s">
        <v>109</v>
      </c>
    </row>
    <row r="313" spans="9:10" x14ac:dyDescent="0.45">
      <c r="I313" t="s">
        <v>83</v>
      </c>
      <c r="J313" t="s">
        <v>110</v>
      </c>
    </row>
    <row r="314" spans="9:10" x14ac:dyDescent="0.45">
      <c r="I314" t="s">
        <v>83</v>
      </c>
      <c r="J314" t="s">
        <v>6</v>
      </c>
    </row>
    <row r="315" spans="9:10" x14ac:dyDescent="0.45">
      <c r="I315" t="s">
        <v>83</v>
      </c>
      <c r="J315" t="s">
        <v>111</v>
      </c>
    </row>
    <row r="316" spans="9:10" x14ac:dyDescent="0.45">
      <c r="I316" t="s">
        <v>84</v>
      </c>
      <c r="J316" t="s">
        <v>109</v>
      </c>
    </row>
    <row r="317" spans="9:10" x14ac:dyDescent="0.45">
      <c r="I317" t="s">
        <v>84</v>
      </c>
      <c r="J317" t="s">
        <v>111</v>
      </c>
    </row>
    <row r="318" spans="9:10" x14ac:dyDescent="0.45">
      <c r="I318" t="s">
        <v>84</v>
      </c>
      <c r="J318" t="s">
        <v>6</v>
      </c>
    </row>
    <row r="319" spans="9:10" x14ac:dyDescent="0.45">
      <c r="I319" t="s">
        <v>84</v>
      </c>
      <c r="J319" t="s">
        <v>110</v>
      </c>
    </row>
    <row r="320" spans="9:10" x14ac:dyDescent="0.45">
      <c r="I320" t="s">
        <v>85</v>
      </c>
      <c r="J320" t="s">
        <v>110</v>
      </c>
    </row>
    <row r="321" spans="9:10" x14ac:dyDescent="0.45">
      <c r="I321" t="s">
        <v>85</v>
      </c>
      <c r="J321" t="s">
        <v>6</v>
      </c>
    </row>
    <row r="322" spans="9:10" x14ac:dyDescent="0.45">
      <c r="I322" t="s">
        <v>85</v>
      </c>
      <c r="J322" t="s">
        <v>109</v>
      </c>
    </row>
    <row r="323" spans="9:10" x14ac:dyDescent="0.45">
      <c r="I323" t="s">
        <v>85</v>
      </c>
      <c r="J323" t="s">
        <v>111</v>
      </c>
    </row>
    <row r="324" spans="9:10" x14ac:dyDescent="0.45">
      <c r="I324" t="s">
        <v>86</v>
      </c>
      <c r="J324" t="s">
        <v>109</v>
      </c>
    </row>
    <row r="325" spans="9:10" x14ac:dyDescent="0.45">
      <c r="I325" t="s">
        <v>86</v>
      </c>
      <c r="J325" t="s">
        <v>110</v>
      </c>
    </row>
    <row r="326" spans="9:10" x14ac:dyDescent="0.45">
      <c r="I326" t="s">
        <v>86</v>
      </c>
      <c r="J326" t="s">
        <v>111</v>
      </c>
    </row>
    <row r="327" spans="9:10" x14ac:dyDescent="0.45">
      <c r="I327" t="s">
        <v>86</v>
      </c>
      <c r="J327" t="s">
        <v>6</v>
      </c>
    </row>
    <row r="328" spans="9:10" x14ac:dyDescent="0.45">
      <c r="I328" t="s">
        <v>87</v>
      </c>
      <c r="J328" t="s">
        <v>109</v>
      </c>
    </row>
    <row r="329" spans="9:10" x14ac:dyDescent="0.45">
      <c r="I329" t="s">
        <v>87</v>
      </c>
      <c r="J329" t="s">
        <v>111</v>
      </c>
    </row>
    <row r="330" spans="9:10" x14ac:dyDescent="0.45">
      <c r="I330" t="s">
        <v>87</v>
      </c>
      <c r="J330" t="s">
        <v>110</v>
      </c>
    </row>
    <row r="331" spans="9:10" x14ac:dyDescent="0.45">
      <c r="I331" t="s">
        <v>87</v>
      </c>
      <c r="J331" t="s">
        <v>6</v>
      </c>
    </row>
    <row r="332" spans="9:10" x14ac:dyDescent="0.45">
      <c r="I332" t="s">
        <v>88</v>
      </c>
      <c r="J332" t="s">
        <v>111</v>
      </c>
    </row>
    <row r="333" spans="9:10" x14ac:dyDescent="0.45">
      <c r="I333" t="s">
        <v>88</v>
      </c>
      <c r="J333" t="s">
        <v>6</v>
      </c>
    </row>
    <row r="334" spans="9:10" x14ac:dyDescent="0.45">
      <c r="I334" t="s">
        <v>88</v>
      </c>
      <c r="J334" t="s">
        <v>110</v>
      </c>
    </row>
    <row r="335" spans="9:10" x14ac:dyDescent="0.45">
      <c r="I335" t="s">
        <v>88</v>
      </c>
      <c r="J335" t="s">
        <v>109</v>
      </c>
    </row>
    <row r="336" spans="9:10" x14ac:dyDescent="0.45">
      <c r="I336" t="s">
        <v>89</v>
      </c>
      <c r="J336" t="s">
        <v>111</v>
      </c>
    </row>
    <row r="337" spans="9:10" x14ac:dyDescent="0.45">
      <c r="I337" t="s">
        <v>89</v>
      </c>
      <c r="J337" t="s">
        <v>110</v>
      </c>
    </row>
    <row r="338" spans="9:10" x14ac:dyDescent="0.45">
      <c r="I338" t="s">
        <v>89</v>
      </c>
      <c r="J338" t="s">
        <v>109</v>
      </c>
    </row>
    <row r="339" spans="9:10" x14ac:dyDescent="0.45">
      <c r="I339" t="s">
        <v>89</v>
      </c>
      <c r="J339" t="s">
        <v>6</v>
      </c>
    </row>
    <row r="340" spans="9:10" x14ac:dyDescent="0.45">
      <c r="I340" t="s">
        <v>90</v>
      </c>
      <c r="J340" t="s">
        <v>109</v>
      </c>
    </row>
    <row r="341" spans="9:10" x14ac:dyDescent="0.45">
      <c r="I341" t="s">
        <v>90</v>
      </c>
      <c r="J341" t="s">
        <v>111</v>
      </c>
    </row>
    <row r="342" spans="9:10" x14ac:dyDescent="0.45">
      <c r="I342" t="s">
        <v>90</v>
      </c>
      <c r="J342" t="s">
        <v>110</v>
      </c>
    </row>
    <row r="343" spans="9:10" x14ac:dyDescent="0.45">
      <c r="I343" t="s">
        <v>90</v>
      </c>
      <c r="J343" t="s">
        <v>6</v>
      </c>
    </row>
    <row r="344" spans="9:10" x14ac:dyDescent="0.45">
      <c r="I344" t="s">
        <v>91</v>
      </c>
      <c r="J344" t="s">
        <v>109</v>
      </c>
    </row>
    <row r="345" spans="9:10" x14ac:dyDescent="0.45">
      <c r="I345" t="s">
        <v>91</v>
      </c>
      <c r="J345" t="s">
        <v>6</v>
      </c>
    </row>
    <row r="346" spans="9:10" x14ac:dyDescent="0.45">
      <c r="I346" t="s">
        <v>91</v>
      </c>
      <c r="J346" t="s">
        <v>110</v>
      </c>
    </row>
    <row r="347" spans="9:10" x14ac:dyDescent="0.45">
      <c r="I347" t="s">
        <v>91</v>
      </c>
      <c r="J347" t="s">
        <v>111</v>
      </c>
    </row>
    <row r="348" spans="9:10" x14ac:dyDescent="0.45">
      <c r="I348" t="s">
        <v>92</v>
      </c>
      <c r="J348" t="s">
        <v>110</v>
      </c>
    </row>
    <row r="349" spans="9:10" x14ac:dyDescent="0.45">
      <c r="I349" t="s">
        <v>92</v>
      </c>
      <c r="J349" t="s">
        <v>111</v>
      </c>
    </row>
    <row r="350" spans="9:10" x14ac:dyDescent="0.45">
      <c r="I350" t="s">
        <v>92</v>
      </c>
      <c r="J350" t="s">
        <v>6</v>
      </c>
    </row>
    <row r="351" spans="9:10" x14ac:dyDescent="0.45">
      <c r="I351" t="s">
        <v>92</v>
      </c>
      <c r="J351" t="s">
        <v>109</v>
      </c>
    </row>
    <row r="352" spans="9:10" x14ac:dyDescent="0.45">
      <c r="I352" t="s">
        <v>93</v>
      </c>
      <c r="J352" t="s">
        <v>110</v>
      </c>
    </row>
    <row r="353" spans="9:10" x14ac:dyDescent="0.45">
      <c r="I353" t="s">
        <v>93</v>
      </c>
      <c r="J353" t="s">
        <v>6</v>
      </c>
    </row>
    <row r="354" spans="9:10" x14ac:dyDescent="0.45">
      <c r="I354" t="s">
        <v>93</v>
      </c>
      <c r="J354" t="s">
        <v>111</v>
      </c>
    </row>
    <row r="355" spans="9:10" x14ac:dyDescent="0.45">
      <c r="I355" t="s">
        <v>93</v>
      </c>
      <c r="J355" t="s">
        <v>109</v>
      </c>
    </row>
    <row r="356" spans="9:10" x14ac:dyDescent="0.45">
      <c r="I356" t="s">
        <v>94</v>
      </c>
      <c r="J356" t="s">
        <v>110</v>
      </c>
    </row>
    <row r="357" spans="9:10" x14ac:dyDescent="0.45">
      <c r="I357" t="s">
        <v>94</v>
      </c>
      <c r="J357" t="s">
        <v>109</v>
      </c>
    </row>
    <row r="358" spans="9:10" x14ac:dyDescent="0.45">
      <c r="I358" t="s">
        <v>94</v>
      </c>
      <c r="J358" t="s">
        <v>6</v>
      </c>
    </row>
    <row r="359" spans="9:10" x14ac:dyDescent="0.45">
      <c r="I359" t="s">
        <v>94</v>
      </c>
      <c r="J359" t="s">
        <v>111</v>
      </c>
    </row>
    <row r="360" spans="9:10" x14ac:dyDescent="0.45">
      <c r="I360" t="s">
        <v>95</v>
      </c>
      <c r="J360" t="s">
        <v>111</v>
      </c>
    </row>
    <row r="361" spans="9:10" x14ac:dyDescent="0.45">
      <c r="I361" t="s">
        <v>95</v>
      </c>
      <c r="J361" t="s">
        <v>109</v>
      </c>
    </row>
    <row r="362" spans="9:10" x14ac:dyDescent="0.45">
      <c r="I362" t="s">
        <v>95</v>
      </c>
      <c r="J362" t="s">
        <v>110</v>
      </c>
    </row>
    <row r="363" spans="9:10" x14ac:dyDescent="0.45">
      <c r="I363" t="s">
        <v>95</v>
      </c>
      <c r="J363" t="s">
        <v>6</v>
      </c>
    </row>
    <row r="364" spans="9:10" x14ac:dyDescent="0.45">
      <c r="I364" t="s">
        <v>96</v>
      </c>
      <c r="J364" t="s">
        <v>6</v>
      </c>
    </row>
    <row r="365" spans="9:10" x14ac:dyDescent="0.45">
      <c r="I365" t="s">
        <v>96</v>
      </c>
      <c r="J365" t="s">
        <v>111</v>
      </c>
    </row>
    <row r="366" spans="9:10" x14ac:dyDescent="0.45">
      <c r="I366" t="s">
        <v>96</v>
      </c>
      <c r="J366" t="s">
        <v>110</v>
      </c>
    </row>
    <row r="367" spans="9:10" x14ac:dyDescent="0.45">
      <c r="I367" t="s">
        <v>96</v>
      </c>
      <c r="J367" t="s">
        <v>109</v>
      </c>
    </row>
    <row r="368" spans="9:10" x14ac:dyDescent="0.45">
      <c r="I368" t="s">
        <v>97</v>
      </c>
      <c r="J368" t="s">
        <v>110</v>
      </c>
    </row>
    <row r="369" spans="9:10" x14ac:dyDescent="0.45">
      <c r="I369" t="s">
        <v>97</v>
      </c>
      <c r="J369" t="s">
        <v>6</v>
      </c>
    </row>
    <row r="370" spans="9:10" x14ac:dyDescent="0.45">
      <c r="I370" t="s">
        <v>97</v>
      </c>
      <c r="J370" t="s">
        <v>111</v>
      </c>
    </row>
    <row r="371" spans="9:10" x14ac:dyDescent="0.45">
      <c r="I371" t="s">
        <v>97</v>
      </c>
      <c r="J371" t="s">
        <v>109</v>
      </c>
    </row>
    <row r="372" spans="9:10" x14ac:dyDescent="0.45">
      <c r="I372" t="s">
        <v>98</v>
      </c>
      <c r="J372" t="s">
        <v>109</v>
      </c>
    </row>
    <row r="373" spans="9:10" x14ac:dyDescent="0.45">
      <c r="I373" t="s">
        <v>98</v>
      </c>
      <c r="J373" t="s">
        <v>110</v>
      </c>
    </row>
    <row r="374" spans="9:10" x14ac:dyDescent="0.45">
      <c r="I374" t="s">
        <v>98</v>
      </c>
      <c r="J374" t="s">
        <v>111</v>
      </c>
    </row>
    <row r="375" spans="9:10" x14ac:dyDescent="0.45">
      <c r="I375" t="s">
        <v>98</v>
      </c>
      <c r="J375" t="s">
        <v>6</v>
      </c>
    </row>
    <row r="376" spans="9:10" x14ac:dyDescent="0.45">
      <c r="I376" t="s">
        <v>99</v>
      </c>
      <c r="J376" t="s">
        <v>110</v>
      </c>
    </row>
    <row r="377" spans="9:10" x14ac:dyDescent="0.45">
      <c r="I377" t="s">
        <v>99</v>
      </c>
      <c r="J377" t="s">
        <v>6</v>
      </c>
    </row>
    <row r="378" spans="9:10" x14ac:dyDescent="0.45">
      <c r="I378" t="s">
        <v>99</v>
      </c>
      <c r="J378" t="s">
        <v>109</v>
      </c>
    </row>
    <row r="379" spans="9:10" x14ac:dyDescent="0.45">
      <c r="I379" t="s">
        <v>99</v>
      </c>
      <c r="J379" t="s">
        <v>111</v>
      </c>
    </row>
    <row r="380" spans="9:10" x14ac:dyDescent="0.45">
      <c r="I380" t="s">
        <v>100</v>
      </c>
      <c r="J380" t="s">
        <v>111</v>
      </c>
    </row>
    <row r="381" spans="9:10" x14ac:dyDescent="0.45">
      <c r="I381" t="s">
        <v>100</v>
      </c>
      <c r="J381" t="s">
        <v>110</v>
      </c>
    </row>
    <row r="382" spans="9:10" x14ac:dyDescent="0.45">
      <c r="I382" t="s">
        <v>100</v>
      </c>
      <c r="J382" t="s">
        <v>6</v>
      </c>
    </row>
    <row r="383" spans="9:10" x14ac:dyDescent="0.45">
      <c r="I383" t="s">
        <v>100</v>
      </c>
      <c r="J383" t="s">
        <v>109</v>
      </c>
    </row>
    <row r="384" spans="9:10" x14ac:dyDescent="0.45">
      <c r="I384" t="s">
        <v>101</v>
      </c>
      <c r="J384" t="s">
        <v>110</v>
      </c>
    </row>
    <row r="385" spans="9:10" x14ac:dyDescent="0.45">
      <c r="I385" t="s">
        <v>101</v>
      </c>
      <c r="J385" t="s">
        <v>111</v>
      </c>
    </row>
    <row r="386" spans="9:10" x14ac:dyDescent="0.45">
      <c r="I386" t="s">
        <v>101</v>
      </c>
      <c r="J386" t="s">
        <v>6</v>
      </c>
    </row>
    <row r="387" spans="9:10" x14ac:dyDescent="0.45">
      <c r="I387" t="s">
        <v>101</v>
      </c>
      <c r="J387" t="s">
        <v>109</v>
      </c>
    </row>
    <row r="388" spans="9:10" x14ac:dyDescent="0.45">
      <c r="I388" t="s">
        <v>102</v>
      </c>
      <c r="J388" t="s">
        <v>6</v>
      </c>
    </row>
    <row r="389" spans="9:10" x14ac:dyDescent="0.45">
      <c r="I389" t="s">
        <v>102</v>
      </c>
      <c r="J389" t="s">
        <v>109</v>
      </c>
    </row>
    <row r="390" spans="9:10" x14ac:dyDescent="0.45">
      <c r="I390" t="s">
        <v>102</v>
      </c>
      <c r="J390" t="s">
        <v>111</v>
      </c>
    </row>
    <row r="391" spans="9:10" x14ac:dyDescent="0.45">
      <c r="I391" t="s">
        <v>102</v>
      </c>
      <c r="J391" t="s">
        <v>110</v>
      </c>
    </row>
    <row r="392" spans="9:10" x14ac:dyDescent="0.45">
      <c r="I392" t="s">
        <v>30</v>
      </c>
      <c r="J392" t="s">
        <v>111</v>
      </c>
    </row>
    <row r="393" spans="9:10" x14ac:dyDescent="0.45">
      <c r="I393" t="s">
        <v>30</v>
      </c>
      <c r="J393" t="s">
        <v>6</v>
      </c>
    </row>
    <row r="394" spans="9:10" x14ac:dyDescent="0.45">
      <c r="I394" t="s">
        <v>30</v>
      </c>
      <c r="J394" t="s">
        <v>109</v>
      </c>
    </row>
    <row r="395" spans="9:10" x14ac:dyDescent="0.45">
      <c r="I395" t="s">
        <v>30</v>
      </c>
      <c r="J395" t="s">
        <v>110</v>
      </c>
    </row>
    <row r="396" spans="9:10" x14ac:dyDescent="0.45">
      <c r="I396" t="s">
        <v>44</v>
      </c>
      <c r="J396" t="s">
        <v>111</v>
      </c>
    </row>
    <row r="397" spans="9:10" x14ac:dyDescent="0.45">
      <c r="I397" t="s">
        <v>44</v>
      </c>
      <c r="J397" t="s">
        <v>110</v>
      </c>
    </row>
    <row r="398" spans="9:10" x14ac:dyDescent="0.45">
      <c r="I398" t="s">
        <v>44</v>
      </c>
      <c r="J398" t="s">
        <v>109</v>
      </c>
    </row>
    <row r="399" spans="9:10" x14ac:dyDescent="0.45">
      <c r="I399" t="s">
        <v>44</v>
      </c>
      <c r="J399" t="s">
        <v>6</v>
      </c>
    </row>
    <row r="400" spans="9:10" x14ac:dyDescent="0.45">
      <c r="I400" t="s">
        <v>103</v>
      </c>
      <c r="J400" t="s">
        <v>6</v>
      </c>
    </row>
    <row r="401" spans="9:10" x14ac:dyDescent="0.45">
      <c r="I401" t="s">
        <v>103</v>
      </c>
      <c r="J401" t="s">
        <v>109</v>
      </c>
    </row>
    <row r="402" spans="9:10" x14ac:dyDescent="0.45">
      <c r="I402" t="s">
        <v>103</v>
      </c>
      <c r="J402" t="s">
        <v>111</v>
      </c>
    </row>
    <row r="403" spans="9:10" x14ac:dyDescent="0.45">
      <c r="I403" t="s">
        <v>103</v>
      </c>
      <c r="J403" t="s">
        <v>110</v>
      </c>
    </row>
    <row r="404" spans="9:10" x14ac:dyDescent="0.45">
      <c r="I404" t="s">
        <v>104</v>
      </c>
      <c r="J404" t="s">
        <v>111</v>
      </c>
    </row>
    <row r="405" spans="9:10" x14ac:dyDescent="0.45">
      <c r="I405" t="s">
        <v>104</v>
      </c>
      <c r="J405" t="s">
        <v>109</v>
      </c>
    </row>
    <row r="406" spans="9:10" x14ac:dyDescent="0.45">
      <c r="I406" t="s">
        <v>104</v>
      </c>
      <c r="J406" t="s">
        <v>110</v>
      </c>
    </row>
    <row r="407" spans="9:10" x14ac:dyDescent="0.45">
      <c r="I407" t="s">
        <v>104</v>
      </c>
      <c r="J407" t="s">
        <v>6</v>
      </c>
    </row>
    <row r="408" spans="9:10" x14ac:dyDescent="0.45">
      <c r="I408" t="s">
        <v>105</v>
      </c>
      <c r="J408" t="s">
        <v>6</v>
      </c>
    </row>
    <row r="409" spans="9:10" x14ac:dyDescent="0.45">
      <c r="I409" t="s">
        <v>105</v>
      </c>
      <c r="J409" t="s">
        <v>109</v>
      </c>
    </row>
    <row r="410" spans="9:10" x14ac:dyDescent="0.45">
      <c r="I410" t="s">
        <v>105</v>
      </c>
      <c r="J410" t="s">
        <v>110</v>
      </c>
    </row>
    <row r="411" spans="9:10" x14ac:dyDescent="0.45">
      <c r="I411" t="s">
        <v>105</v>
      </c>
      <c r="J411" t="s">
        <v>111</v>
      </c>
    </row>
    <row r="412" spans="9:10" x14ac:dyDescent="0.45">
      <c r="I412" t="s">
        <v>106</v>
      </c>
      <c r="J412" t="s">
        <v>6</v>
      </c>
    </row>
    <row r="413" spans="9:10" x14ac:dyDescent="0.45">
      <c r="I413" t="s">
        <v>106</v>
      </c>
      <c r="J413" t="s">
        <v>111</v>
      </c>
    </row>
    <row r="414" spans="9:10" x14ac:dyDescent="0.45">
      <c r="I414" t="s">
        <v>106</v>
      </c>
      <c r="J414" t="s">
        <v>109</v>
      </c>
    </row>
    <row r="415" spans="9:10" x14ac:dyDescent="0.45">
      <c r="I415" t="s">
        <v>106</v>
      </c>
      <c r="J415" t="s">
        <v>110</v>
      </c>
    </row>
    <row r="416" spans="9:10" x14ac:dyDescent="0.45">
      <c r="I416" t="s">
        <v>107</v>
      </c>
      <c r="J416" t="s">
        <v>110</v>
      </c>
    </row>
    <row r="417" spans="9:10" x14ac:dyDescent="0.45">
      <c r="I417" t="s">
        <v>107</v>
      </c>
      <c r="J417" t="s">
        <v>6</v>
      </c>
    </row>
    <row r="418" spans="9:10" x14ac:dyDescent="0.45">
      <c r="I418" t="s">
        <v>107</v>
      </c>
      <c r="J418" t="s">
        <v>111</v>
      </c>
    </row>
    <row r="419" spans="9:10" x14ac:dyDescent="0.45">
      <c r="I419" t="s">
        <v>107</v>
      </c>
      <c r="J419" t="s">
        <v>109</v>
      </c>
    </row>
    <row r="420" spans="9:10" x14ac:dyDescent="0.45">
      <c r="I420" t="s">
        <v>108</v>
      </c>
      <c r="J420" t="s">
        <v>6</v>
      </c>
    </row>
    <row r="421" spans="9:10" x14ac:dyDescent="0.45">
      <c r="I421" t="s">
        <v>108</v>
      </c>
      <c r="J421" t="s">
        <v>110</v>
      </c>
    </row>
    <row r="422" spans="9:10" x14ac:dyDescent="0.45">
      <c r="I422" t="s">
        <v>108</v>
      </c>
      <c r="J422" t="s">
        <v>109</v>
      </c>
    </row>
    <row r="423" spans="9:10" x14ac:dyDescent="0.45">
      <c r="I423" t="s">
        <v>108</v>
      </c>
      <c r="J423" t="s">
        <v>111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E1653E-58FB-4D32-95C8-0ED481F671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Help</vt:lpstr>
      <vt:lpstr>WB coefficients</vt:lpstr>
      <vt:lpstr>Where to look</vt:lpstr>
      <vt:lpstr>API</vt:lpstr>
      <vt:lpstr>SendTGbot</vt:lpstr>
      <vt:lpstr>Params</vt:lpstr>
      <vt:lpstr>AutoSearchSlots</vt:lpstr>
      <vt:lpstr>FindMessage</vt:lpstr>
      <vt:lpstr>help_conf_wb</vt:lpstr>
      <vt:lpstr>Notify</vt:lpstr>
      <vt:lpstr>SearchDay</vt:lpstr>
      <vt:lpstr>SearchInt</vt:lpstr>
      <vt:lpstr>SlotsCheck</vt:lpstr>
      <vt:lpstr>TgChatId</vt:lpstr>
      <vt:lpstr>ValidC</vt:lpstr>
      <vt:lpstr>WarehousesTypes</vt:lpstr>
      <vt:lpstr>WarhousesNames</vt:lpstr>
      <vt:lpstr>WBNewApi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Fedorov</dc:creator>
  <cp:lastModifiedBy>Ivan Fedorov</cp:lastModifiedBy>
  <dcterms:created xsi:type="dcterms:W3CDTF">2024-08-30T12:45:01Z</dcterms:created>
  <dcterms:modified xsi:type="dcterms:W3CDTF">2024-10-17T15:44:31Z</dcterms:modified>
</cp:coreProperties>
</file>